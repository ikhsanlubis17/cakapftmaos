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os.qq\Downloads\"/>
    </mc:Choice>
  </mc:AlternateContent>
  <xr:revisionPtr revIDLastSave="0" documentId="13_ncr:1_{6E59B7B7-E844-4A7B-872A-639BF9E8E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KAP APAR FT MAOS" sheetId="1" r:id="rId1"/>
    <sheet name="Sheet8" sheetId="2" r:id="rId2"/>
    <sheet name="REKAP APAR IT CILACAP" sheetId="3" r:id="rId3"/>
    <sheet name="REKAP APAR OTOMATIC" sheetId="4" r:id="rId4"/>
    <sheet name="SUMBER REKAP APAR" sheetId="5" r:id="rId5"/>
    <sheet name="REKAP APAR FT MAOS." sheetId="6" r:id="rId6"/>
    <sheet name="STOCK APAR CADANGAN" sheetId="7" r:id="rId7"/>
    <sheet name="REKAP APAR DEDI" sheetId="8" r:id="rId8"/>
  </sheets>
  <definedNames>
    <definedName name="_xlnm._FilterDatabase" localSheetId="7" hidden="1">'REKAP APAR DEDI'!$D$1:$D$1000</definedName>
    <definedName name="_xlnm._FilterDatabase" localSheetId="4" hidden="1">'SUMBER REKAP APAR'!$A$1:$Z$46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8" l="1"/>
  <c r="H91" i="8"/>
  <c r="H90" i="8"/>
  <c r="H89" i="8"/>
  <c r="N79" i="7"/>
  <c r="P79" i="7" s="1"/>
  <c r="O78" i="7"/>
  <c r="N78" i="7"/>
  <c r="P78" i="7" s="1"/>
  <c r="O77" i="7"/>
  <c r="N77" i="7"/>
  <c r="P77" i="7" s="1"/>
  <c r="O76" i="7"/>
  <c r="N76" i="7"/>
  <c r="P76" i="7" s="1"/>
  <c r="O75" i="7"/>
  <c r="N75" i="7"/>
  <c r="P75" i="7" s="1"/>
  <c r="U45" i="7"/>
  <c r="T45" i="7"/>
  <c r="S45" i="7"/>
  <c r="R45" i="7"/>
  <c r="Q45" i="7"/>
  <c r="T46" i="7" s="1"/>
  <c r="M45" i="7"/>
  <c r="L45" i="7"/>
  <c r="K45" i="7"/>
  <c r="J45" i="7"/>
  <c r="I45" i="7"/>
  <c r="H45" i="7"/>
  <c r="I55" i="7" s="1"/>
  <c r="G45" i="7"/>
  <c r="I54" i="7" s="1"/>
  <c r="F45" i="7"/>
  <c r="I53" i="7" s="1"/>
  <c r="E45" i="7"/>
  <c r="I52" i="7" s="1"/>
  <c r="D45" i="7"/>
  <c r="A5" i="7" a="1"/>
  <c r="P43" i="6"/>
  <c r="P18" i="6"/>
  <c r="W1" i="6"/>
  <c r="O46" i="5"/>
  <c r="N46" i="5"/>
  <c r="H46" i="5"/>
  <c r="G46" i="5"/>
  <c r="F46" i="5"/>
  <c r="E46" i="5"/>
  <c r="D46" i="5"/>
  <c r="C46" i="5"/>
  <c r="B46" i="5"/>
  <c r="A46" i="5"/>
  <c r="O45" i="5"/>
  <c r="N45" i="5"/>
  <c r="H45" i="5"/>
  <c r="G45" i="5"/>
  <c r="F45" i="5"/>
  <c r="E45" i="5"/>
  <c r="D45" i="5"/>
  <c r="C45" i="5"/>
  <c r="B45" i="5"/>
  <c r="A45" i="5"/>
  <c r="J44" i="5"/>
  <c r="I44" i="5"/>
  <c r="H44" i="5"/>
  <c r="G44" i="5"/>
  <c r="F44" i="5"/>
  <c r="E44" i="5"/>
  <c r="D44" i="5"/>
  <c r="C44" i="5"/>
  <c r="B44" i="5"/>
  <c r="A44" i="5"/>
  <c r="J43" i="5"/>
  <c r="I43" i="5"/>
  <c r="H43" i="5"/>
  <c r="G43" i="5"/>
  <c r="F43" i="5"/>
  <c r="E43" i="5"/>
  <c r="D43" i="5"/>
  <c r="C43" i="5"/>
  <c r="B43" i="5"/>
  <c r="A43" i="5"/>
  <c r="J42" i="5"/>
  <c r="I42" i="5"/>
  <c r="F42" i="5"/>
  <c r="E42" i="5"/>
  <c r="D42" i="5"/>
  <c r="C42" i="5"/>
  <c r="B42" i="5"/>
  <c r="A42" i="5"/>
  <c r="J41" i="5"/>
  <c r="I41" i="5"/>
  <c r="F41" i="5"/>
  <c r="E41" i="5"/>
  <c r="D41" i="5"/>
  <c r="C41" i="5"/>
  <c r="B41" i="5"/>
  <c r="A41" i="5"/>
  <c r="J40" i="5"/>
  <c r="I40" i="5"/>
  <c r="F40" i="5"/>
  <c r="E40" i="5"/>
  <c r="D40" i="5"/>
  <c r="C40" i="5"/>
  <c r="B40" i="5"/>
  <c r="A40" i="5"/>
  <c r="J39" i="5"/>
  <c r="I39" i="5"/>
  <c r="F39" i="5"/>
  <c r="E39" i="5"/>
  <c r="D39" i="5"/>
  <c r="C39" i="5"/>
  <c r="B39" i="5"/>
  <c r="A39" i="5"/>
  <c r="J38" i="5"/>
  <c r="I38" i="5"/>
  <c r="F38" i="5"/>
  <c r="E38" i="5"/>
  <c r="D38" i="5"/>
  <c r="C38" i="5"/>
  <c r="B38" i="5"/>
  <c r="A38" i="5"/>
  <c r="I37" i="5"/>
  <c r="F37" i="5"/>
  <c r="E37" i="5"/>
  <c r="D37" i="5"/>
  <c r="C37" i="5"/>
  <c r="B37" i="5"/>
  <c r="A37" i="5"/>
  <c r="I36" i="5"/>
  <c r="F36" i="5"/>
  <c r="E36" i="5"/>
  <c r="D36" i="5"/>
  <c r="C36" i="5"/>
  <c r="B36" i="5"/>
  <c r="A36" i="5"/>
  <c r="J35" i="5"/>
  <c r="I35" i="5"/>
  <c r="F35" i="5"/>
  <c r="E35" i="5"/>
  <c r="D35" i="5"/>
  <c r="C35" i="5"/>
  <c r="B35" i="5"/>
  <c r="A35" i="5"/>
  <c r="J34" i="5"/>
  <c r="I34" i="5"/>
  <c r="F34" i="5"/>
  <c r="E34" i="5"/>
  <c r="D34" i="5"/>
  <c r="C34" i="5"/>
  <c r="B34" i="5"/>
  <c r="A34" i="5"/>
  <c r="J33" i="5"/>
  <c r="I33" i="5"/>
  <c r="F33" i="5"/>
  <c r="E33" i="5"/>
  <c r="D33" i="5"/>
  <c r="C33" i="5"/>
  <c r="B33" i="5"/>
  <c r="A33" i="5"/>
  <c r="J32" i="5"/>
  <c r="F32" i="5"/>
  <c r="E32" i="5"/>
  <c r="D32" i="5"/>
  <c r="C32" i="5"/>
  <c r="B32" i="5"/>
  <c r="A32" i="5"/>
  <c r="J31" i="5"/>
  <c r="I31" i="5"/>
  <c r="F31" i="5"/>
  <c r="E31" i="5"/>
  <c r="D31" i="5"/>
  <c r="C31" i="5"/>
  <c r="B31" i="5"/>
  <c r="A31" i="5"/>
  <c r="J30" i="5"/>
  <c r="I30" i="5"/>
  <c r="F30" i="5"/>
  <c r="E30" i="5"/>
  <c r="D30" i="5"/>
  <c r="C30" i="5"/>
  <c r="B30" i="5"/>
  <c r="A30" i="5"/>
  <c r="I29" i="5"/>
  <c r="F29" i="5"/>
  <c r="E29" i="5"/>
  <c r="D29" i="5"/>
  <c r="C29" i="5"/>
  <c r="B29" i="5"/>
  <c r="A29" i="5"/>
  <c r="J28" i="5"/>
  <c r="I28" i="5"/>
  <c r="F28" i="5"/>
  <c r="E28" i="5"/>
  <c r="D28" i="5"/>
  <c r="C28" i="5"/>
  <c r="B28" i="5"/>
  <c r="A28" i="5"/>
  <c r="J27" i="5"/>
  <c r="I27" i="5"/>
  <c r="F27" i="5"/>
  <c r="E27" i="5"/>
  <c r="D27" i="5"/>
  <c r="C27" i="5"/>
  <c r="B27" i="5"/>
  <c r="A27" i="5"/>
  <c r="J26" i="5"/>
  <c r="I26" i="5"/>
  <c r="F26" i="5"/>
  <c r="E26" i="5"/>
  <c r="D26" i="5"/>
  <c r="C26" i="5"/>
  <c r="B26" i="5"/>
  <c r="A26" i="5"/>
  <c r="J25" i="5"/>
  <c r="F25" i="5"/>
  <c r="E25" i="5"/>
  <c r="D25" i="5"/>
  <c r="C25" i="5"/>
  <c r="B25" i="5"/>
  <c r="A25" i="5"/>
  <c r="J24" i="5"/>
  <c r="F24" i="5"/>
  <c r="E24" i="5"/>
  <c r="D24" i="5"/>
  <c r="C24" i="5"/>
  <c r="B24" i="5"/>
  <c r="A24" i="5"/>
  <c r="J23" i="5"/>
  <c r="I23" i="5"/>
  <c r="F23" i="5"/>
  <c r="E23" i="5"/>
  <c r="D23" i="5"/>
  <c r="C23" i="5"/>
  <c r="B23" i="5"/>
  <c r="A23" i="5"/>
  <c r="J22" i="5"/>
  <c r="I22" i="5"/>
  <c r="F22" i="5"/>
  <c r="E22" i="5"/>
  <c r="D22" i="5"/>
  <c r="C22" i="5"/>
  <c r="B22" i="5"/>
  <c r="A22" i="5"/>
  <c r="J21" i="5"/>
  <c r="F21" i="5"/>
  <c r="E21" i="5"/>
  <c r="D21" i="5"/>
  <c r="C21" i="5"/>
  <c r="B21" i="5"/>
  <c r="A21" i="5"/>
  <c r="J20" i="5"/>
  <c r="F20" i="5"/>
  <c r="E20" i="5"/>
  <c r="D20" i="5"/>
  <c r="C20" i="5"/>
  <c r="B20" i="5"/>
  <c r="A20" i="5"/>
  <c r="J19" i="5"/>
  <c r="I19" i="5"/>
  <c r="F19" i="5"/>
  <c r="E19" i="5"/>
  <c r="D19" i="5"/>
  <c r="C19" i="5"/>
  <c r="B19" i="5"/>
  <c r="A19" i="5"/>
  <c r="J18" i="5"/>
  <c r="I18" i="5"/>
  <c r="F18" i="5"/>
  <c r="E18" i="5"/>
  <c r="D18" i="5"/>
  <c r="C18" i="5"/>
  <c r="B18" i="5"/>
  <c r="A18" i="5"/>
  <c r="O17" i="5"/>
  <c r="N17" i="5"/>
  <c r="F17" i="5"/>
  <c r="E17" i="5"/>
  <c r="D17" i="5"/>
  <c r="C17" i="5"/>
  <c r="B17" i="5"/>
  <c r="A17" i="5"/>
  <c r="N16" i="5"/>
  <c r="J16" i="5"/>
  <c r="F16" i="5"/>
  <c r="E16" i="5"/>
  <c r="D16" i="5"/>
  <c r="C16" i="5"/>
  <c r="B16" i="5"/>
  <c r="A16" i="5"/>
  <c r="Q15" i="5"/>
  <c r="O15" i="5"/>
  <c r="N15" i="5"/>
  <c r="F15" i="5"/>
  <c r="E15" i="5"/>
  <c r="D15" i="5"/>
  <c r="C15" i="5"/>
  <c r="B15" i="5"/>
  <c r="A15" i="5"/>
  <c r="J14" i="5"/>
  <c r="I14" i="5"/>
  <c r="H14" i="5"/>
  <c r="G14" i="5"/>
  <c r="F14" i="5"/>
  <c r="E14" i="5"/>
  <c r="D14" i="5"/>
  <c r="C14" i="5"/>
  <c r="B14" i="5"/>
  <c r="A14" i="5"/>
  <c r="Q13" i="5"/>
  <c r="N13" i="5"/>
  <c r="I13" i="5"/>
  <c r="H13" i="5"/>
  <c r="G13" i="5"/>
  <c r="F13" i="5"/>
  <c r="E13" i="5"/>
  <c r="D13" i="5"/>
  <c r="C13" i="5"/>
  <c r="B13" i="5"/>
  <c r="A13" i="5"/>
  <c r="J12" i="5"/>
  <c r="I12" i="5"/>
  <c r="H12" i="5"/>
  <c r="G12" i="5"/>
  <c r="F12" i="5"/>
  <c r="E12" i="5"/>
  <c r="D12" i="5"/>
  <c r="C12" i="5"/>
  <c r="B12" i="5"/>
  <c r="A12" i="5"/>
  <c r="Q11" i="5"/>
  <c r="N11" i="5"/>
  <c r="I11" i="5"/>
  <c r="H11" i="5"/>
  <c r="G11" i="5"/>
  <c r="F11" i="5"/>
  <c r="E11" i="5"/>
  <c r="D11" i="5"/>
  <c r="C11" i="5"/>
  <c r="B11" i="5"/>
  <c r="A11" i="5"/>
  <c r="Q10" i="5"/>
  <c r="O10" i="5"/>
  <c r="N10" i="5"/>
  <c r="H10" i="5"/>
  <c r="G10" i="5"/>
  <c r="F10" i="5"/>
  <c r="E10" i="5"/>
  <c r="D10" i="5"/>
  <c r="C10" i="5"/>
  <c r="B10" i="5"/>
  <c r="A10" i="5"/>
  <c r="Q9" i="5"/>
  <c r="O9" i="5"/>
  <c r="N9" i="5"/>
  <c r="H9" i="5"/>
  <c r="G9" i="5"/>
  <c r="F9" i="5"/>
  <c r="E9" i="5"/>
  <c r="D9" i="5"/>
  <c r="C9" i="5"/>
  <c r="B9" i="5"/>
  <c r="A9" i="5"/>
  <c r="Q8" i="5"/>
  <c r="N8" i="5"/>
  <c r="J8" i="5"/>
  <c r="H8" i="5"/>
  <c r="G8" i="5"/>
  <c r="F8" i="5"/>
  <c r="E8" i="5"/>
  <c r="D8" i="5"/>
  <c r="C8" i="5"/>
  <c r="B8" i="5"/>
  <c r="A8" i="5"/>
  <c r="J7" i="5"/>
  <c r="I7" i="5"/>
  <c r="H7" i="5"/>
  <c r="G7" i="5"/>
  <c r="F7" i="5"/>
  <c r="E7" i="5"/>
  <c r="D7" i="5"/>
  <c r="C7" i="5"/>
  <c r="B7" i="5"/>
  <c r="A7" i="5"/>
  <c r="J6" i="5"/>
  <c r="I6" i="5"/>
  <c r="H6" i="5"/>
  <c r="G6" i="5"/>
  <c r="F6" i="5"/>
  <c r="E6" i="5"/>
  <c r="D6" i="5"/>
  <c r="C6" i="5"/>
  <c r="B6" i="5"/>
  <c r="A6" i="5"/>
  <c r="Q5" i="5"/>
  <c r="F5" i="5"/>
  <c r="E5" i="5"/>
  <c r="D5" i="5"/>
  <c r="C5" i="5"/>
  <c r="B5" i="5"/>
  <c r="A5" i="5"/>
  <c r="H4" i="5"/>
  <c r="G4" i="5"/>
  <c r="F4" i="5"/>
  <c r="E4" i="5"/>
  <c r="D4" i="5"/>
  <c r="C4" i="5"/>
  <c r="B4" i="5"/>
  <c r="A4" i="5"/>
  <c r="H3" i="5"/>
  <c r="G3" i="5"/>
  <c r="F3" i="5"/>
  <c r="E3" i="5"/>
  <c r="D3" i="5"/>
  <c r="C3" i="5"/>
  <c r="B3" i="5"/>
  <c r="A3" i="5"/>
  <c r="Q2" i="5"/>
  <c r="F2" i="5"/>
  <c r="E2" i="5"/>
  <c r="D2" i="5"/>
  <c r="C2" i="5"/>
  <c r="B2" i="5"/>
  <c r="A2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M88" i="4"/>
  <c r="L88" i="4"/>
  <c r="K88" i="4"/>
  <c r="J88" i="4"/>
  <c r="I88" i="4"/>
  <c r="H88" i="4"/>
  <c r="R88" i="4" s="1"/>
  <c r="X88" i="4" s="1"/>
  <c r="G88" i="4"/>
  <c r="Q88" i="4" s="1"/>
  <c r="W88" i="4" s="1"/>
  <c r="F88" i="4"/>
  <c r="P88" i="4" s="1"/>
  <c r="V88" i="4" s="1"/>
  <c r="E88" i="4"/>
  <c r="O88" i="4" s="1"/>
  <c r="U88" i="4" s="1"/>
  <c r="D88" i="4"/>
  <c r="N88" i="4" s="1"/>
  <c r="T88" i="4" s="1"/>
  <c r="M87" i="4"/>
  <c r="L87" i="4"/>
  <c r="K87" i="4"/>
  <c r="J87" i="4"/>
  <c r="I87" i="4"/>
  <c r="H87" i="4"/>
  <c r="R87" i="4" s="1"/>
  <c r="X87" i="4" s="1"/>
  <c r="G87" i="4"/>
  <c r="Q87" i="4" s="1"/>
  <c r="W87" i="4" s="1"/>
  <c r="F87" i="4"/>
  <c r="P87" i="4" s="1"/>
  <c r="V87" i="4" s="1"/>
  <c r="E87" i="4"/>
  <c r="O87" i="4" s="1"/>
  <c r="U87" i="4" s="1"/>
  <c r="D87" i="4"/>
  <c r="N87" i="4" s="1"/>
  <c r="T87" i="4" s="1"/>
  <c r="M86" i="4"/>
  <c r="L86" i="4"/>
  <c r="K86" i="4"/>
  <c r="J86" i="4"/>
  <c r="I86" i="4"/>
  <c r="H86" i="4"/>
  <c r="R86" i="4" s="1"/>
  <c r="X86" i="4" s="1"/>
  <c r="G86" i="4"/>
  <c r="Q86" i="4" s="1"/>
  <c r="W86" i="4" s="1"/>
  <c r="F86" i="4"/>
  <c r="P86" i="4" s="1"/>
  <c r="V86" i="4" s="1"/>
  <c r="E86" i="4"/>
  <c r="O86" i="4" s="1"/>
  <c r="U86" i="4" s="1"/>
  <c r="D86" i="4"/>
  <c r="N86" i="4" s="1"/>
  <c r="T86" i="4" s="1"/>
  <c r="Y86" i="4" s="1"/>
  <c r="M85" i="4"/>
  <c r="L85" i="4"/>
  <c r="K85" i="4"/>
  <c r="J85" i="4"/>
  <c r="I85" i="4"/>
  <c r="H85" i="4"/>
  <c r="R85" i="4" s="1"/>
  <c r="X85" i="4" s="1"/>
  <c r="G85" i="4"/>
  <c r="Q85" i="4" s="1"/>
  <c r="W85" i="4" s="1"/>
  <c r="F85" i="4"/>
  <c r="P85" i="4" s="1"/>
  <c r="V85" i="4" s="1"/>
  <c r="E85" i="4"/>
  <c r="O85" i="4" s="1"/>
  <c r="U85" i="4" s="1"/>
  <c r="D85" i="4"/>
  <c r="N85" i="4" s="1"/>
  <c r="T85" i="4" s="1"/>
  <c r="Y85" i="4" s="1"/>
  <c r="M84" i="4"/>
  <c r="L84" i="4"/>
  <c r="K84" i="4"/>
  <c r="J84" i="4"/>
  <c r="I84" i="4"/>
  <c r="H84" i="4"/>
  <c r="R84" i="4" s="1"/>
  <c r="X84" i="4" s="1"/>
  <c r="G84" i="4"/>
  <c r="Q84" i="4" s="1"/>
  <c r="W84" i="4" s="1"/>
  <c r="F84" i="4"/>
  <c r="P84" i="4" s="1"/>
  <c r="V84" i="4" s="1"/>
  <c r="E84" i="4"/>
  <c r="O84" i="4" s="1"/>
  <c r="U84" i="4" s="1"/>
  <c r="D84" i="4"/>
  <c r="N84" i="4" s="1"/>
  <c r="T84" i="4" s="1"/>
  <c r="Y84" i="4" s="1"/>
  <c r="M83" i="4"/>
  <c r="L83" i="4"/>
  <c r="K83" i="4"/>
  <c r="J83" i="4"/>
  <c r="I83" i="4"/>
  <c r="H83" i="4"/>
  <c r="R83" i="4" s="1"/>
  <c r="X83" i="4" s="1"/>
  <c r="G83" i="4"/>
  <c r="Q83" i="4" s="1"/>
  <c r="W83" i="4" s="1"/>
  <c r="F83" i="4"/>
  <c r="P83" i="4" s="1"/>
  <c r="V83" i="4" s="1"/>
  <c r="E83" i="4"/>
  <c r="O83" i="4" s="1"/>
  <c r="U83" i="4" s="1"/>
  <c r="D83" i="4"/>
  <c r="N83" i="4" s="1"/>
  <c r="T83" i="4" s="1"/>
  <c r="M82" i="4"/>
  <c r="L82" i="4"/>
  <c r="K82" i="4"/>
  <c r="J82" i="4"/>
  <c r="I82" i="4"/>
  <c r="H82" i="4"/>
  <c r="R82" i="4" s="1"/>
  <c r="X82" i="4" s="1"/>
  <c r="G82" i="4"/>
  <c r="Q82" i="4" s="1"/>
  <c r="W82" i="4" s="1"/>
  <c r="F82" i="4"/>
  <c r="P82" i="4" s="1"/>
  <c r="V82" i="4" s="1"/>
  <c r="E82" i="4"/>
  <c r="O82" i="4" s="1"/>
  <c r="U82" i="4" s="1"/>
  <c r="D82" i="4"/>
  <c r="N82" i="4" s="1"/>
  <c r="T82" i="4" s="1"/>
  <c r="Y82" i="4" s="1"/>
  <c r="M81" i="4"/>
  <c r="L81" i="4"/>
  <c r="K81" i="4"/>
  <c r="J81" i="4"/>
  <c r="H81" i="4"/>
  <c r="R81" i="4" s="1"/>
  <c r="X81" i="4" s="1"/>
  <c r="G81" i="4"/>
  <c r="Q81" i="4" s="1"/>
  <c r="W81" i="4" s="1"/>
  <c r="F81" i="4"/>
  <c r="P81" i="4" s="1"/>
  <c r="V81" i="4" s="1"/>
  <c r="E81" i="4"/>
  <c r="O81" i="4" s="1"/>
  <c r="U81" i="4" s="1"/>
  <c r="D81" i="4"/>
  <c r="N81" i="4" s="1"/>
  <c r="T81" i="4" s="1"/>
  <c r="Y81" i="4" s="1"/>
  <c r="M80" i="4"/>
  <c r="L80" i="4"/>
  <c r="K80" i="4"/>
  <c r="J80" i="4"/>
  <c r="I80" i="4"/>
  <c r="H80" i="4"/>
  <c r="R80" i="4" s="1"/>
  <c r="X80" i="4" s="1"/>
  <c r="G80" i="4"/>
  <c r="Q80" i="4" s="1"/>
  <c r="W80" i="4" s="1"/>
  <c r="F80" i="4"/>
  <c r="P80" i="4" s="1"/>
  <c r="V80" i="4" s="1"/>
  <c r="E80" i="4"/>
  <c r="O80" i="4" s="1"/>
  <c r="U80" i="4" s="1"/>
  <c r="D80" i="4"/>
  <c r="N80" i="4" s="1"/>
  <c r="T80" i="4" s="1"/>
  <c r="Y80" i="4" s="1"/>
  <c r="M79" i="4"/>
  <c r="L79" i="4"/>
  <c r="K79" i="4"/>
  <c r="J79" i="4"/>
  <c r="I79" i="4"/>
  <c r="H79" i="4"/>
  <c r="R79" i="4" s="1"/>
  <c r="X79" i="4" s="1"/>
  <c r="G79" i="4"/>
  <c r="Q79" i="4" s="1"/>
  <c r="W79" i="4" s="1"/>
  <c r="F79" i="4"/>
  <c r="P79" i="4" s="1"/>
  <c r="V79" i="4" s="1"/>
  <c r="E79" i="4"/>
  <c r="O79" i="4" s="1"/>
  <c r="U79" i="4" s="1"/>
  <c r="D79" i="4"/>
  <c r="N79" i="4" s="1"/>
  <c r="T79" i="4" s="1"/>
  <c r="Y79" i="4" s="1"/>
  <c r="M78" i="4"/>
  <c r="L78" i="4"/>
  <c r="K78" i="4"/>
  <c r="J78" i="4"/>
  <c r="I78" i="4"/>
  <c r="H78" i="4"/>
  <c r="R78" i="4" s="1"/>
  <c r="X78" i="4" s="1"/>
  <c r="G78" i="4"/>
  <c r="Q78" i="4" s="1"/>
  <c r="W78" i="4" s="1"/>
  <c r="F78" i="4"/>
  <c r="P78" i="4" s="1"/>
  <c r="V78" i="4" s="1"/>
  <c r="E78" i="4"/>
  <c r="O78" i="4" s="1"/>
  <c r="U78" i="4" s="1"/>
  <c r="D78" i="4"/>
  <c r="N78" i="4" s="1"/>
  <c r="T78" i="4" s="1"/>
  <c r="M77" i="4"/>
  <c r="L77" i="4"/>
  <c r="K77" i="4"/>
  <c r="J77" i="4"/>
  <c r="I77" i="4"/>
  <c r="H77" i="4"/>
  <c r="R77" i="4" s="1"/>
  <c r="X77" i="4" s="1"/>
  <c r="G77" i="4"/>
  <c r="Q77" i="4" s="1"/>
  <c r="W77" i="4" s="1"/>
  <c r="F77" i="4"/>
  <c r="P77" i="4" s="1"/>
  <c r="V77" i="4" s="1"/>
  <c r="E77" i="4"/>
  <c r="O77" i="4" s="1"/>
  <c r="U77" i="4" s="1"/>
  <c r="D77" i="4"/>
  <c r="N77" i="4" s="1"/>
  <c r="T77" i="4" s="1"/>
  <c r="Y77" i="4" s="1"/>
  <c r="M76" i="4"/>
  <c r="L76" i="4"/>
  <c r="K76" i="4"/>
  <c r="J76" i="4"/>
  <c r="I76" i="4"/>
  <c r="H76" i="4"/>
  <c r="R76" i="4" s="1"/>
  <c r="X76" i="4" s="1"/>
  <c r="G76" i="4"/>
  <c r="Q76" i="4" s="1"/>
  <c r="W76" i="4" s="1"/>
  <c r="F76" i="4"/>
  <c r="P76" i="4" s="1"/>
  <c r="V76" i="4" s="1"/>
  <c r="E76" i="4"/>
  <c r="O76" i="4" s="1"/>
  <c r="U76" i="4" s="1"/>
  <c r="D76" i="4"/>
  <c r="N76" i="4" s="1"/>
  <c r="T76" i="4" s="1"/>
  <c r="Y76" i="4" s="1"/>
  <c r="M75" i="4"/>
  <c r="L75" i="4"/>
  <c r="K75" i="4"/>
  <c r="J75" i="4"/>
  <c r="I75" i="4"/>
  <c r="H75" i="4"/>
  <c r="R75" i="4" s="1"/>
  <c r="X75" i="4" s="1"/>
  <c r="G75" i="4"/>
  <c r="Q75" i="4" s="1"/>
  <c r="W75" i="4" s="1"/>
  <c r="F75" i="4"/>
  <c r="P75" i="4" s="1"/>
  <c r="V75" i="4" s="1"/>
  <c r="E75" i="4"/>
  <c r="O75" i="4" s="1"/>
  <c r="U75" i="4" s="1"/>
  <c r="D75" i="4"/>
  <c r="N75" i="4" s="1"/>
  <c r="T75" i="4" s="1"/>
  <c r="Y75" i="4" s="1"/>
  <c r="M74" i="4"/>
  <c r="L74" i="4"/>
  <c r="K74" i="4"/>
  <c r="J74" i="4"/>
  <c r="AA1" i="4"/>
  <c r="U19" i="3"/>
  <c r="V18" i="3"/>
  <c r="U18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2" i="3" s="1"/>
  <c r="A23" i="3" s="1"/>
  <c r="A24" i="3" s="1"/>
  <c r="AD1" i="3"/>
  <c r="Q2" i="2"/>
  <c r="Y2" i="2" s="1"/>
  <c r="P2" i="2"/>
  <c r="X2" i="2" s="1"/>
  <c r="O2" i="2"/>
  <c r="N2" i="2"/>
  <c r="M2" i="2"/>
  <c r="U2" i="2" s="1"/>
  <c r="L2" i="2"/>
  <c r="T2" i="2" s="1"/>
  <c r="K2" i="2"/>
  <c r="S2" i="2" s="1"/>
  <c r="Z2" i="2" s="1"/>
  <c r="Q1" i="2"/>
  <c r="Y1" i="2" s="1"/>
  <c r="P1" i="2"/>
  <c r="X1" i="2" s="1"/>
  <c r="O1" i="2"/>
  <c r="N1" i="2"/>
  <c r="M1" i="2"/>
  <c r="U1" i="2" s="1"/>
  <c r="L1" i="2"/>
  <c r="T1" i="2" s="1"/>
  <c r="K1" i="2"/>
  <c r="S1" i="2" s="1"/>
  <c r="Z1" i="2" s="1"/>
  <c r="A1" i="2"/>
  <c r="A2" i="2" s="1"/>
  <c r="W42" i="1"/>
  <c r="V42" i="1"/>
  <c r="U42" i="1"/>
  <c r="S17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B1" i="1"/>
  <c r="N83" i="6" l="1"/>
  <c r="T83" i="6" s="1"/>
  <c r="M83" i="6"/>
  <c r="S83" i="6" s="1"/>
  <c r="L83" i="6"/>
  <c r="R83" i="6" s="1"/>
  <c r="K83" i="6"/>
  <c r="Q83" i="6" s="1"/>
  <c r="J83" i="6"/>
  <c r="P83" i="6" s="1"/>
  <c r="U83" i="6" s="1"/>
  <c r="N82" i="6"/>
  <c r="T82" i="6" s="1"/>
  <c r="M82" i="6"/>
  <c r="S82" i="6" s="1"/>
  <c r="L82" i="6"/>
  <c r="R82" i="6" s="1"/>
  <c r="K82" i="6"/>
  <c r="Q82" i="6" s="1"/>
  <c r="J82" i="6"/>
  <c r="P82" i="6" s="1"/>
  <c r="U82" i="6" s="1"/>
  <c r="N81" i="6"/>
  <c r="T81" i="6" s="1"/>
  <c r="M81" i="6"/>
  <c r="S81" i="6" s="1"/>
  <c r="L81" i="6"/>
  <c r="R81" i="6" s="1"/>
  <c r="K81" i="6"/>
  <c r="Q81" i="6" s="1"/>
  <c r="J81" i="6"/>
  <c r="P81" i="6" s="1"/>
  <c r="U81" i="6" s="1"/>
  <c r="N80" i="6"/>
  <c r="T80" i="6" s="1"/>
  <c r="M80" i="6"/>
  <c r="S80" i="6" s="1"/>
  <c r="L80" i="6"/>
  <c r="R80" i="6" s="1"/>
  <c r="K80" i="6"/>
  <c r="Q80" i="6" s="1"/>
  <c r="J80" i="6"/>
  <c r="P80" i="6" s="1"/>
  <c r="U80" i="6" s="1"/>
  <c r="N79" i="6"/>
  <c r="T79" i="6" s="1"/>
  <c r="M79" i="6"/>
  <c r="S79" i="6" s="1"/>
  <c r="L79" i="6"/>
  <c r="R79" i="6" s="1"/>
  <c r="K79" i="6"/>
  <c r="Q79" i="6" s="1"/>
  <c r="J79" i="6"/>
  <c r="P79" i="6" s="1"/>
  <c r="U79" i="6" s="1"/>
  <c r="N78" i="6"/>
  <c r="T78" i="6" s="1"/>
  <c r="M78" i="6"/>
  <c r="S78" i="6" s="1"/>
  <c r="L78" i="6"/>
  <c r="R78" i="6" s="1"/>
  <c r="K78" i="6"/>
  <c r="Q78" i="6" s="1"/>
  <c r="J78" i="6"/>
  <c r="P78" i="6" s="1"/>
  <c r="U78" i="6" s="1"/>
  <c r="N77" i="6"/>
  <c r="T77" i="6" s="1"/>
  <c r="M77" i="6"/>
  <c r="S77" i="6" s="1"/>
  <c r="L77" i="6"/>
  <c r="R77" i="6" s="1"/>
  <c r="K77" i="6"/>
  <c r="Q77" i="6" s="1"/>
  <c r="J77" i="6"/>
  <c r="P77" i="6" s="1"/>
  <c r="U77" i="6" s="1"/>
  <c r="N76" i="6"/>
  <c r="T76" i="6" s="1"/>
  <c r="M76" i="6"/>
  <c r="S76" i="6" s="1"/>
  <c r="L76" i="6"/>
  <c r="R76" i="6" s="1"/>
  <c r="K76" i="6"/>
  <c r="Q76" i="6" s="1"/>
  <c r="J76" i="6"/>
  <c r="P76" i="6" s="1"/>
  <c r="U76" i="6" s="1"/>
  <c r="N75" i="6"/>
  <c r="T75" i="6" s="1"/>
  <c r="M75" i="6"/>
  <c r="S75" i="6" s="1"/>
  <c r="L75" i="6"/>
  <c r="R75" i="6" s="1"/>
  <c r="K75" i="6"/>
  <c r="Q75" i="6" s="1"/>
  <c r="J75" i="6"/>
  <c r="P75" i="6" s="1"/>
  <c r="U75" i="6" s="1"/>
  <c r="N74" i="6"/>
  <c r="T74" i="6" s="1"/>
  <c r="M74" i="6"/>
  <c r="S74" i="6" s="1"/>
  <c r="L74" i="6"/>
  <c r="R74" i="6" s="1"/>
  <c r="K74" i="6"/>
  <c r="Q74" i="6" s="1"/>
  <c r="J74" i="6"/>
  <c r="P74" i="6" s="1"/>
  <c r="U74" i="6" s="1"/>
  <c r="N73" i="6"/>
  <c r="T73" i="6" s="1"/>
  <c r="M73" i="6"/>
  <c r="S73" i="6" s="1"/>
  <c r="L73" i="6"/>
  <c r="R73" i="6" s="1"/>
  <c r="K73" i="6"/>
  <c r="Q73" i="6" s="1"/>
  <c r="J73" i="6"/>
  <c r="P73" i="6" s="1"/>
  <c r="U73" i="6" s="1"/>
  <c r="N72" i="6"/>
  <c r="T72" i="6" s="1"/>
  <c r="M72" i="6"/>
  <c r="S72" i="6" s="1"/>
  <c r="L72" i="6"/>
  <c r="R72" i="6" s="1"/>
  <c r="K72" i="6"/>
  <c r="Q72" i="6" s="1"/>
  <c r="J72" i="6"/>
  <c r="P72" i="6" s="1"/>
  <c r="U72" i="6" s="1"/>
  <c r="N71" i="6"/>
  <c r="T71" i="6" s="1"/>
  <c r="M71" i="6"/>
  <c r="S71" i="6" s="1"/>
  <c r="L71" i="6"/>
  <c r="R71" i="6" s="1"/>
  <c r="K71" i="6"/>
  <c r="Q71" i="6" s="1"/>
  <c r="J71" i="6"/>
  <c r="P71" i="6" s="1"/>
  <c r="U71" i="6" s="1"/>
  <c r="N70" i="6"/>
  <c r="T70" i="6" s="1"/>
  <c r="M70" i="6"/>
  <c r="S70" i="6" s="1"/>
  <c r="L70" i="6"/>
  <c r="R70" i="6" s="1"/>
  <c r="K70" i="6"/>
  <c r="Q70" i="6" s="1"/>
  <c r="J70" i="6"/>
  <c r="P70" i="6" s="1"/>
  <c r="U70" i="6" s="1"/>
  <c r="N69" i="6"/>
  <c r="T69" i="6" s="1"/>
  <c r="M69" i="6"/>
  <c r="S69" i="6" s="1"/>
  <c r="L69" i="6"/>
  <c r="R69" i="6" s="1"/>
  <c r="K69" i="6"/>
  <c r="Q69" i="6" s="1"/>
  <c r="J69" i="6"/>
  <c r="P69" i="6" s="1"/>
  <c r="U69" i="6" s="1"/>
  <c r="N68" i="6"/>
  <c r="T68" i="6" s="1"/>
  <c r="M68" i="6"/>
  <c r="S68" i="6" s="1"/>
  <c r="L68" i="6"/>
  <c r="R68" i="6" s="1"/>
  <c r="K68" i="6"/>
  <c r="Q68" i="6" s="1"/>
  <c r="J68" i="6"/>
  <c r="P68" i="6" s="1"/>
  <c r="U68" i="6" s="1"/>
  <c r="N67" i="6"/>
  <c r="T67" i="6" s="1"/>
  <c r="M67" i="6"/>
  <c r="S67" i="6" s="1"/>
  <c r="L67" i="6"/>
  <c r="R67" i="6" s="1"/>
  <c r="I74" i="4"/>
  <c r="H74" i="4"/>
  <c r="R74" i="4" s="1"/>
  <c r="X74" i="4" s="1"/>
  <c r="G74" i="4"/>
  <c r="Q74" i="4" s="1"/>
  <c r="W74" i="4" s="1"/>
  <c r="F74" i="4"/>
  <c r="P74" i="4" s="1"/>
  <c r="V74" i="4" s="1"/>
  <c r="E74" i="4"/>
  <c r="O74" i="4" s="1"/>
  <c r="U74" i="4" s="1"/>
  <c r="D74" i="4"/>
  <c r="N74" i="4" s="1"/>
  <c r="T74" i="4" s="1"/>
  <c r="Y74" i="4" s="1"/>
  <c r="M73" i="4"/>
  <c r="L73" i="4"/>
  <c r="K73" i="4"/>
  <c r="J73" i="4"/>
  <c r="I73" i="4"/>
  <c r="H73" i="4"/>
  <c r="R73" i="4" s="1"/>
  <c r="X73" i="4" s="1"/>
  <c r="G73" i="4"/>
  <c r="Q73" i="4" s="1"/>
  <c r="W73" i="4" s="1"/>
  <c r="F73" i="4"/>
  <c r="P73" i="4" s="1"/>
  <c r="V73" i="4" s="1"/>
  <c r="E73" i="4"/>
  <c r="O73" i="4" s="1"/>
  <c r="U73" i="4" s="1"/>
  <c r="D73" i="4"/>
  <c r="N73" i="4" s="1"/>
  <c r="T73" i="4" s="1"/>
  <c r="Y73" i="4" s="1"/>
  <c r="M72" i="4"/>
  <c r="L72" i="4"/>
  <c r="K72" i="4"/>
  <c r="J72" i="4"/>
  <c r="I72" i="4"/>
  <c r="H72" i="4"/>
  <c r="R72" i="4" s="1"/>
  <c r="X72" i="4" s="1"/>
  <c r="G72" i="4"/>
  <c r="Q72" i="4" s="1"/>
  <c r="W72" i="4" s="1"/>
  <c r="F72" i="4"/>
  <c r="P72" i="4" s="1"/>
  <c r="V72" i="4" s="1"/>
  <c r="E72" i="4"/>
  <c r="O72" i="4" s="1"/>
  <c r="U72" i="4" s="1"/>
  <c r="D72" i="4"/>
  <c r="N72" i="4" s="1"/>
  <c r="T72" i="4" s="1"/>
  <c r="Y72" i="4" s="1"/>
  <c r="M71" i="4"/>
  <c r="L71" i="4"/>
  <c r="K71" i="4"/>
  <c r="J71" i="4"/>
  <c r="I71" i="4"/>
  <c r="H71" i="4"/>
  <c r="R71" i="4" s="1"/>
  <c r="X71" i="4" s="1"/>
  <c r="G71" i="4"/>
  <c r="Q71" i="4" s="1"/>
  <c r="W71" i="4" s="1"/>
  <c r="F71" i="4"/>
  <c r="P71" i="4" s="1"/>
  <c r="V71" i="4" s="1"/>
  <c r="Y87" i="4"/>
  <c r="Y88" i="4"/>
  <c r="Y78" i="4"/>
  <c r="K67" i="6"/>
  <c r="Q67" i="6" s="1"/>
  <c r="J67" i="6"/>
  <c r="P67" i="6" s="1"/>
  <c r="N66" i="6"/>
  <c r="T66" i="6" s="1"/>
  <c r="M66" i="6"/>
  <c r="S66" i="6" s="1"/>
  <c r="L66" i="6"/>
  <c r="R66" i="6" s="1"/>
  <c r="K66" i="6"/>
  <c r="Q66" i="6" s="1"/>
  <c r="J66" i="6"/>
  <c r="P66" i="6" s="1"/>
  <c r="U66" i="6" s="1"/>
  <c r="N65" i="6"/>
  <c r="T65" i="6" s="1"/>
  <c r="M65" i="6"/>
  <c r="S65" i="6" s="1"/>
  <c r="L65" i="6"/>
  <c r="R65" i="6" s="1"/>
  <c r="K65" i="6"/>
  <c r="Q65" i="6" s="1"/>
  <c r="J65" i="6"/>
  <c r="P65" i="6" s="1"/>
  <c r="U65" i="6" s="1"/>
  <c r="N64" i="6"/>
  <c r="T64" i="6" s="1"/>
  <c r="M64" i="6"/>
  <c r="S64" i="6" s="1"/>
  <c r="L64" i="6"/>
  <c r="R64" i="6" s="1"/>
  <c r="K64" i="6"/>
  <c r="Q64" i="6" s="1"/>
  <c r="J64" i="6"/>
  <c r="P64" i="6" s="1"/>
  <c r="U64" i="6" s="1"/>
  <c r="N63" i="6"/>
  <c r="T63" i="6" s="1"/>
  <c r="M63" i="6"/>
  <c r="S63" i="6" s="1"/>
  <c r="L63" i="6"/>
  <c r="R63" i="6" s="1"/>
  <c r="K63" i="6"/>
  <c r="Q63" i="6" s="1"/>
  <c r="J63" i="6"/>
  <c r="P63" i="6" s="1"/>
  <c r="U63" i="6" s="1"/>
  <c r="N62" i="6"/>
  <c r="T62" i="6" s="1"/>
  <c r="M62" i="6"/>
  <c r="S62" i="6" s="1"/>
  <c r="L62" i="6"/>
  <c r="R62" i="6" s="1"/>
  <c r="K62" i="6"/>
  <c r="Q62" i="6" s="1"/>
  <c r="J62" i="6"/>
  <c r="P62" i="6" s="1"/>
  <c r="U62" i="6" s="1"/>
  <c r="N61" i="6"/>
  <c r="T61" i="6" s="1"/>
  <c r="M61" i="6"/>
  <c r="S61" i="6" s="1"/>
  <c r="L61" i="6"/>
  <c r="R61" i="6" s="1"/>
  <c r="K61" i="6"/>
  <c r="Q61" i="6" s="1"/>
  <c r="J61" i="6"/>
  <c r="P61" i="6" s="1"/>
  <c r="U61" i="6" s="1"/>
  <c r="N60" i="6"/>
  <c r="T60" i="6" s="1"/>
  <c r="M60" i="6"/>
  <c r="S60" i="6" s="1"/>
  <c r="L60" i="6"/>
  <c r="R60" i="6" s="1"/>
  <c r="K60" i="6"/>
  <c r="Q60" i="6" s="1"/>
  <c r="J60" i="6"/>
  <c r="P60" i="6" s="1"/>
  <c r="U60" i="6" s="1"/>
  <c r="N59" i="6"/>
  <c r="T59" i="6" s="1"/>
  <c r="M59" i="6"/>
  <c r="S59" i="6" s="1"/>
  <c r="L59" i="6"/>
  <c r="R59" i="6" s="1"/>
  <c r="K59" i="6"/>
  <c r="Q59" i="6" s="1"/>
  <c r="J59" i="6"/>
  <c r="P59" i="6" s="1"/>
  <c r="U59" i="6" s="1"/>
  <c r="N58" i="6"/>
  <c r="T58" i="6" s="1"/>
  <c r="M58" i="6"/>
  <c r="S58" i="6" s="1"/>
  <c r="L58" i="6"/>
  <c r="R58" i="6" s="1"/>
  <c r="K58" i="6"/>
  <c r="Q58" i="6" s="1"/>
  <c r="J58" i="6"/>
  <c r="P58" i="6" s="1"/>
  <c r="U58" i="6" s="1"/>
  <c r="N57" i="6"/>
  <c r="T57" i="6" s="1"/>
  <c r="M57" i="6"/>
  <c r="S57" i="6" s="1"/>
  <c r="L57" i="6"/>
  <c r="R57" i="6" s="1"/>
  <c r="K57" i="6"/>
  <c r="Q57" i="6" s="1"/>
  <c r="J57" i="6"/>
  <c r="P57" i="6" s="1"/>
  <c r="U57" i="6" s="1"/>
  <c r="N56" i="6"/>
  <c r="T56" i="6" s="1"/>
  <c r="M56" i="6"/>
  <c r="S56" i="6" s="1"/>
  <c r="L56" i="6"/>
  <c r="R56" i="6" s="1"/>
  <c r="K56" i="6"/>
  <c r="Q56" i="6" s="1"/>
  <c r="J56" i="6"/>
  <c r="P56" i="6" s="1"/>
  <c r="U56" i="6" s="1"/>
  <c r="N55" i="6"/>
  <c r="T55" i="6" s="1"/>
  <c r="M55" i="6"/>
  <c r="S55" i="6" s="1"/>
  <c r="L55" i="6"/>
  <c r="R55" i="6" s="1"/>
  <c r="K55" i="6"/>
  <c r="Q55" i="6" s="1"/>
  <c r="J55" i="6"/>
  <c r="P55" i="6" s="1"/>
  <c r="U55" i="6" s="1"/>
  <c r="N54" i="6"/>
  <c r="T54" i="6" s="1"/>
  <c r="M54" i="6"/>
  <c r="S54" i="6" s="1"/>
  <c r="L54" i="6"/>
  <c r="R54" i="6" s="1"/>
  <c r="K54" i="6"/>
  <c r="Q54" i="6" s="1"/>
  <c r="J54" i="6"/>
  <c r="P54" i="6" s="1"/>
  <c r="U54" i="6" s="1"/>
  <c r="N53" i="6"/>
  <c r="T53" i="6" s="1"/>
  <c r="M53" i="6"/>
  <c r="S53" i="6" s="1"/>
  <c r="L53" i="6"/>
  <c r="R53" i="6" s="1"/>
  <c r="K53" i="6"/>
  <c r="Q53" i="6" s="1"/>
  <c r="J53" i="6"/>
  <c r="P53" i="6" s="1"/>
  <c r="U53" i="6" s="1"/>
  <c r="N52" i="6"/>
  <c r="T52" i="6" s="1"/>
  <c r="M52" i="6"/>
  <c r="S52" i="6" s="1"/>
  <c r="L52" i="6"/>
  <c r="R52" i="6" s="1"/>
  <c r="K52" i="6"/>
  <c r="Q52" i="6" s="1"/>
  <c r="J52" i="6"/>
  <c r="P52" i="6" s="1"/>
  <c r="U52" i="6" s="1"/>
  <c r="N51" i="6"/>
  <c r="T51" i="6" s="1"/>
  <c r="M51" i="6"/>
  <c r="S51" i="6" s="1"/>
  <c r="L51" i="6"/>
  <c r="R51" i="6" s="1"/>
  <c r="K51" i="6"/>
  <c r="Q51" i="6" s="1"/>
  <c r="J51" i="6"/>
  <c r="P51" i="6" s="1"/>
  <c r="U51" i="6" s="1"/>
  <c r="N50" i="6"/>
  <c r="T50" i="6" s="1"/>
  <c r="M50" i="6"/>
  <c r="S50" i="6" s="1"/>
  <c r="L50" i="6"/>
  <c r="R50" i="6" s="1"/>
  <c r="K50" i="6"/>
  <c r="Q50" i="6" s="1"/>
  <c r="J50" i="6"/>
  <c r="P50" i="6" s="1"/>
  <c r="U50" i="6" s="1"/>
  <c r="N49" i="6"/>
  <c r="T49" i="6" s="1"/>
  <c r="M49" i="6"/>
  <c r="S49" i="6" s="1"/>
  <c r="L49" i="6"/>
  <c r="R49" i="6" s="1"/>
  <c r="K49" i="6"/>
  <c r="Q49" i="6" s="1"/>
  <c r="J49" i="6"/>
  <c r="P49" i="6" s="1"/>
  <c r="U49" i="6" s="1"/>
  <c r="N48" i="6"/>
  <c r="T48" i="6" s="1"/>
  <c r="M48" i="6"/>
  <c r="S48" i="6" s="1"/>
  <c r="L48" i="6"/>
  <c r="R48" i="6" s="1"/>
  <c r="K48" i="6"/>
  <c r="Q48" i="6" s="1"/>
  <c r="J48" i="6"/>
  <c r="P48" i="6" s="1"/>
  <c r="U48" i="6" s="1"/>
  <c r="N47" i="6"/>
  <c r="T47" i="6" s="1"/>
  <c r="M47" i="6"/>
  <c r="S47" i="6" s="1"/>
  <c r="L47" i="6"/>
  <c r="R47" i="6" s="1"/>
  <c r="K47" i="6"/>
  <c r="Q47" i="6" s="1"/>
  <c r="J47" i="6"/>
  <c r="P47" i="6" s="1"/>
  <c r="U47" i="6" s="1"/>
  <c r="N46" i="6"/>
  <c r="T46" i="6" s="1"/>
  <c r="M46" i="6"/>
  <c r="S46" i="6" s="1"/>
  <c r="L46" i="6"/>
  <c r="R46" i="6" s="1"/>
  <c r="K46" i="6"/>
  <c r="Q46" i="6" s="1"/>
  <c r="J46" i="6"/>
  <c r="P46" i="6" s="1"/>
  <c r="U46" i="6" s="1"/>
  <c r="N45" i="6"/>
  <c r="T45" i="6" s="1"/>
  <c r="M45" i="6"/>
  <c r="S45" i="6" s="1"/>
  <c r="L45" i="6"/>
  <c r="R45" i="6" s="1"/>
  <c r="K45" i="6"/>
  <c r="Q45" i="6" s="1"/>
  <c r="J45" i="6"/>
  <c r="P45" i="6" s="1"/>
  <c r="U45" i="6" s="1"/>
  <c r="N44" i="6"/>
  <c r="T44" i="6" s="1"/>
  <c r="M44" i="6"/>
  <c r="S44" i="6" s="1"/>
  <c r="L44" i="6"/>
  <c r="R44" i="6" s="1"/>
  <c r="K44" i="6"/>
  <c r="Q44" i="6" s="1"/>
  <c r="J44" i="6"/>
  <c r="P44" i="6" s="1"/>
  <c r="U44" i="6" s="1"/>
  <c r="N43" i="6"/>
  <c r="T43" i="6" s="1"/>
  <c r="M43" i="6"/>
  <c r="S43" i="6" s="1"/>
  <c r="L43" i="6"/>
  <c r="R43" i="6" s="1"/>
  <c r="K43" i="6"/>
  <c r="Q43" i="6" s="1"/>
  <c r="N42" i="6"/>
  <c r="T42" i="6" s="1"/>
  <c r="M42" i="6"/>
  <c r="S42" i="6" s="1"/>
  <c r="L42" i="6"/>
  <c r="R42" i="6" s="1"/>
  <c r="K42" i="6"/>
  <c r="Q42" i="6" s="1"/>
  <c r="J42" i="6"/>
  <c r="P42" i="6" s="1"/>
  <c r="U42" i="6" s="1"/>
  <c r="N41" i="6"/>
  <c r="T41" i="6" s="1"/>
  <c r="M41" i="6"/>
  <c r="S41" i="6" s="1"/>
  <c r="L41" i="6"/>
  <c r="R41" i="6" s="1"/>
  <c r="K41" i="6"/>
  <c r="Q41" i="6" s="1"/>
  <c r="J41" i="6"/>
  <c r="P41" i="6" s="1"/>
  <c r="U41" i="6" s="1"/>
  <c r="N40" i="6"/>
  <c r="T40" i="6" s="1"/>
  <c r="M40" i="6"/>
  <c r="S40" i="6" s="1"/>
  <c r="L40" i="6"/>
  <c r="R40" i="6" s="1"/>
  <c r="K40" i="6"/>
  <c r="Q40" i="6" s="1"/>
  <c r="J40" i="6"/>
  <c r="P40" i="6" s="1"/>
  <c r="U40" i="6" s="1"/>
  <c r="N39" i="6"/>
  <c r="T39" i="6" s="1"/>
  <c r="M39" i="6"/>
  <c r="S39" i="6" s="1"/>
  <c r="L39" i="6"/>
  <c r="R39" i="6" s="1"/>
  <c r="K39" i="6"/>
  <c r="Q39" i="6" s="1"/>
  <c r="J39" i="6"/>
  <c r="P39" i="6" s="1"/>
  <c r="U39" i="6" s="1"/>
  <c r="N38" i="6"/>
  <c r="T38" i="6" s="1"/>
  <c r="M38" i="6"/>
  <c r="S38" i="6" s="1"/>
  <c r="L38" i="6"/>
  <c r="R38" i="6" s="1"/>
  <c r="K38" i="6"/>
  <c r="Q38" i="6" s="1"/>
  <c r="J38" i="6"/>
  <c r="P38" i="6" s="1"/>
  <c r="U38" i="6" s="1"/>
  <c r="N37" i="6"/>
  <c r="T37" i="6" s="1"/>
  <c r="M37" i="6"/>
  <c r="S37" i="6" s="1"/>
  <c r="L37" i="6"/>
  <c r="R37" i="6" s="1"/>
  <c r="K37" i="6"/>
  <c r="Q37" i="6" s="1"/>
  <c r="J37" i="6"/>
  <c r="P37" i="6" s="1"/>
  <c r="U37" i="6" s="1"/>
  <c r="I81" i="4"/>
  <c r="E71" i="4"/>
  <c r="O71" i="4" s="1"/>
  <c r="U71" i="4" s="1"/>
  <c r="D71" i="4"/>
  <c r="N71" i="4" s="1"/>
  <c r="T71" i="4" s="1"/>
  <c r="M70" i="4"/>
  <c r="L70" i="4"/>
  <c r="K70" i="4"/>
  <c r="J70" i="4"/>
  <c r="I70" i="4"/>
  <c r="H70" i="4"/>
  <c r="R70" i="4" s="1"/>
  <c r="X70" i="4" s="1"/>
  <c r="G70" i="4"/>
  <c r="Q70" i="4" s="1"/>
  <c r="W70" i="4" s="1"/>
  <c r="F70" i="4"/>
  <c r="P70" i="4" s="1"/>
  <c r="V70" i="4" s="1"/>
  <c r="E70" i="4"/>
  <c r="O70" i="4" s="1"/>
  <c r="U70" i="4" s="1"/>
  <c r="D70" i="4"/>
  <c r="N70" i="4" s="1"/>
  <c r="T70" i="4" s="1"/>
  <c r="M69" i="4"/>
  <c r="L69" i="4"/>
  <c r="K69" i="4"/>
  <c r="J69" i="4"/>
  <c r="I69" i="4"/>
  <c r="H69" i="4"/>
  <c r="R69" i="4" s="1"/>
  <c r="X69" i="4" s="1"/>
  <c r="G69" i="4"/>
  <c r="Q69" i="4" s="1"/>
  <c r="W69" i="4" s="1"/>
  <c r="F69" i="4"/>
  <c r="P69" i="4" s="1"/>
  <c r="V69" i="4" s="1"/>
  <c r="E69" i="4"/>
  <c r="O69" i="4" s="1"/>
  <c r="U69" i="4" s="1"/>
  <c r="D69" i="4"/>
  <c r="N69" i="4" s="1"/>
  <c r="T69" i="4" s="1"/>
  <c r="Y69" i="4" s="1"/>
  <c r="M68" i="4"/>
  <c r="L68" i="4"/>
  <c r="K68" i="4"/>
  <c r="J68" i="4"/>
  <c r="I68" i="4"/>
  <c r="H68" i="4"/>
  <c r="R68" i="4" s="1"/>
  <c r="X68" i="4" s="1"/>
  <c r="G68" i="4"/>
  <c r="Q68" i="4" s="1"/>
  <c r="W68" i="4" s="1"/>
  <c r="F68" i="4"/>
  <c r="P68" i="4" s="1"/>
  <c r="V68" i="4" s="1"/>
  <c r="E68" i="4"/>
  <c r="O68" i="4" s="1"/>
  <c r="U68" i="4" s="1"/>
  <c r="D68" i="4"/>
  <c r="N68" i="4" s="1"/>
  <c r="T68" i="4" s="1"/>
  <c r="Y68" i="4" s="1"/>
  <c r="M67" i="4"/>
  <c r="L67" i="4"/>
  <c r="K67" i="4"/>
  <c r="J67" i="4"/>
  <c r="I67" i="4"/>
  <c r="H67" i="4"/>
  <c r="R67" i="4" s="1"/>
  <c r="X67" i="4" s="1"/>
  <c r="G67" i="4"/>
  <c r="Q67" i="4" s="1"/>
  <c r="W67" i="4" s="1"/>
  <c r="F67" i="4"/>
  <c r="P67" i="4" s="1"/>
  <c r="V67" i="4" s="1"/>
  <c r="E67" i="4"/>
  <c r="O67" i="4" s="1"/>
  <c r="U67" i="4" s="1"/>
  <c r="D67" i="4"/>
  <c r="N67" i="4" s="1"/>
  <c r="T67" i="4" s="1"/>
  <c r="Y67" i="4" s="1"/>
  <c r="Q86" i="1"/>
  <c r="Y86" i="1" s="1"/>
  <c r="P86" i="1"/>
  <c r="X86" i="1" s="1"/>
  <c r="O86" i="1"/>
  <c r="W86" i="1" s="1"/>
  <c r="N86" i="1"/>
  <c r="V86" i="1" s="1"/>
  <c r="M86" i="1"/>
  <c r="U86" i="1" s="1"/>
  <c r="L86" i="1"/>
  <c r="T86" i="1" s="1"/>
  <c r="K86" i="1"/>
  <c r="S86" i="1" s="1"/>
  <c r="Z86" i="1" s="1"/>
  <c r="Q85" i="1"/>
  <c r="Y85" i="1" s="1"/>
  <c r="P85" i="1"/>
  <c r="X85" i="1" s="1"/>
  <c r="O85" i="1"/>
  <c r="W85" i="1" s="1"/>
  <c r="N85" i="1"/>
  <c r="V85" i="1" s="1"/>
  <c r="M85" i="1"/>
  <c r="U85" i="1" s="1"/>
  <c r="L85" i="1"/>
  <c r="T85" i="1" s="1"/>
  <c r="K85" i="1"/>
  <c r="S85" i="1" s="1"/>
  <c r="Q84" i="1"/>
  <c r="Y84" i="1" s="1"/>
  <c r="P84" i="1"/>
  <c r="X84" i="1" s="1"/>
  <c r="O84" i="1"/>
  <c r="W84" i="1" s="1"/>
  <c r="N84" i="1"/>
  <c r="V84" i="1" s="1"/>
  <c r="M84" i="1"/>
  <c r="U84" i="1" s="1"/>
  <c r="L84" i="1"/>
  <c r="T84" i="1" s="1"/>
  <c r="K84" i="1"/>
  <c r="S84" i="1" s="1"/>
  <c r="Z84" i="1" s="1"/>
  <c r="Q83" i="1"/>
  <c r="Y83" i="1" s="1"/>
  <c r="P83" i="1"/>
  <c r="X83" i="1" s="1"/>
  <c r="O83" i="1"/>
  <c r="W83" i="1" s="1"/>
  <c r="N83" i="1"/>
  <c r="V83" i="1" s="1"/>
  <c r="M83" i="1"/>
  <c r="U83" i="1" s="1"/>
  <c r="L83" i="1"/>
  <c r="T83" i="1" s="1"/>
  <c r="K83" i="1"/>
  <c r="S83" i="1" s="1"/>
  <c r="Z83" i="1" s="1"/>
  <c r="Q82" i="1"/>
  <c r="Y82" i="1" s="1"/>
  <c r="P82" i="1"/>
  <c r="X82" i="1" s="1"/>
  <c r="O82" i="1"/>
  <c r="W82" i="1" s="1"/>
  <c r="N82" i="1"/>
  <c r="V82" i="1" s="1"/>
  <c r="M82" i="1"/>
  <c r="U82" i="1" s="1"/>
  <c r="L82" i="1"/>
  <c r="T82" i="1" s="1"/>
  <c r="K82" i="1"/>
  <c r="S82" i="1" s="1"/>
  <c r="Z82" i="1" s="1"/>
  <c r="Q81" i="1"/>
  <c r="Y81" i="1" s="1"/>
  <c r="P81" i="1"/>
  <c r="X81" i="1" s="1"/>
  <c r="O81" i="1"/>
  <c r="W81" i="1" s="1"/>
  <c r="N81" i="1"/>
  <c r="V81" i="1" s="1"/>
  <c r="M81" i="1"/>
  <c r="U81" i="1" s="1"/>
  <c r="L81" i="1"/>
  <c r="T81" i="1" s="1"/>
  <c r="K81" i="1"/>
  <c r="S81" i="1" s="1"/>
  <c r="Z81" i="1" s="1"/>
  <c r="Q80" i="1"/>
  <c r="Y80" i="1" s="1"/>
  <c r="P80" i="1"/>
  <c r="X80" i="1" s="1"/>
  <c r="O80" i="1"/>
  <c r="W80" i="1" s="1"/>
  <c r="N80" i="1"/>
  <c r="V80" i="1" s="1"/>
  <c r="M80" i="1"/>
  <c r="U80" i="1" s="1"/>
  <c r="L80" i="1"/>
  <c r="T80" i="1" s="1"/>
  <c r="K80" i="1"/>
  <c r="S80" i="1" s="1"/>
  <c r="Z80" i="1" s="1"/>
  <c r="Q79" i="1"/>
  <c r="Y79" i="1" s="1"/>
  <c r="P79" i="1"/>
  <c r="X79" i="1" s="1"/>
  <c r="O79" i="1"/>
  <c r="W79" i="1" s="1"/>
  <c r="N79" i="1"/>
  <c r="V79" i="1" s="1"/>
  <c r="M79" i="1"/>
  <c r="U79" i="1" s="1"/>
  <c r="L79" i="1"/>
  <c r="T79" i="1" s="1"/>
  <c r="K79" i="1"/>
  <c r="S79" i="1" s="1"/>
  <c r="Z79" i="1" s="1"/>
  <c r="I51" i="7"/>
  <c r="I57" i="7" s="1"/>
  <c r="M46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J12" i="6"/>
  <c r="P12" i="6" s="1"/>
  <c r="K12" i="6"/>
  <c r="Q12" i="6" s="1"/>
  <c r="L12" i="6"/>
  <c r="R12" i="6" s="1"/>
  <c r="M12" i="6"/>
  <c r="S12" i="6" s="1"/>
  <c r="J14" i="6"/>
  <c r="P14" i="6" s="1"/>
  <c r="K9" i="6"/>
  <c r="Q9" i="6" s="1"/>
  <c r="J13" i="6"/>
  <c r="P13" i="6" s="1"/>
  <c r="K13" i="6"/>
  <c r="Q13" i="6" s="1"/>
  <c r="L13" i="6"/>
  <c r="R13" i="6" s="1"/>
  <c r="M13" i="6"/>
  <c r="S13" i="6" s="1"/>
  <c r="N13" i="6"/>
  <c r="T13" i="6" s="1"/>
  <c r="K14" i="6"/>
  <c r="Q14" i="6" s="1"/>
  <c r="L14" i="6"/>
  <c r="R14" i="6" s="1"/>
  <c r="M14" i="6"/>
  <c r="S14" i="6" s="1"/>
  <c r="N14" i="6"/>
  <c r="T14" i="6" s="1"/>
  <c r="J15" i="6"/>
  <c r="P15" i="6" s="1"/>
  <c r="K15" i="6"/>
  <c r="Q15" i="6" s="1"/>
  <c r="L15" i="6"/>
  <c r="R15" i="6" s="1"/>
  <c r="M15" i="6"/>
  <c r="S15" i="6" s="1"/>
  <c r="N15" i="6"/>
  <c r="T15" i="6" s="1"/>
  <c r="J16" i="6"/>
  <c r="P16" i="6" s="1"/>
  <c r="K16" i="6"/>
  <c r="Q16" i="6" s="1"/>
  <c r="L16" i="6"/>
  <c r="R16" i="6" s="1"/>
  <c r="M16" i="6"/>
  <c r="S16" i="6" s="1"/>
  <c r="N12" i="6"/>
  <c r="T12" i="6" s="1"/>
  <c r="N16" i="6"/>
  <c r="T16" i="6" s="1"/>
  <c r="J17" i="6"/>
  <c r="P17" i="6" s="1"/>
  <c r="K17" i="6"/>
  <c r="Q17" i="6" s="1"/>
  <c r="L17" i="6"/>
  <c r="R17" i="6" s="1"/>
  <c r="M17" i="6"/>
  <c r="S17" i="6" s="1"/>
  <c r="N17" i="6"/>
  <c r="T17" i="6" s="1"/>
  <c r="K18" i="6"/>
  <c r="Q18" i="6" s="1"/>
  <c r="L18" i="6"/>
  <c r="R18" i="6" s="1"/>
  <c r="M18" i="6"/>
  <c r="S18" i="6" s="1"/>
  <c r="N18" i="6"/>
  <c r="T18" i="6" s="1"/>
  <c r="J19" i="6"/>
  <c r="P19" i="6" s="1"/>
  <c r="K19" i="6"/>
  <c r="Q19" i="6" s="1"/>
  <c r="L19" i="6"/>
  <c r="R19" i="6" s="1"/>
  <c r="M19" i="6"/>
  <c r="S19" i="6" s="1"/>
  <c r="N19" i="6"/>
  <c r="T19" i="6" s="1"/>
  <c r="J20" i="6"/>
  <c r="P20" i="6" s="1"/>
  <c r="K20" i="6"/>
  <c r="Q20" i="6" s="1"/>
  <c r="L20" i="6"/>
  <c r="R20" i="6" s="1"/>
  <c r="M20" i="6"/>
  <c r="S20" i="6" s="1"/>
  <c r="N20" i="6"/>
  <c r="T20" i="6" s="1"/>
  <c r="K21" i="6"/>
  <c r="Q21" i="6" s="1"/>
  <c r="L21" i="6"/>
  <c r="R21" i="6" s="1"/>
  <c r="M21" i="6"/>
  <c r="S21" i="6" s="1"/>
  <c r="N21" i="6"/>
  <c r="T21" i="6" s="1"/>
  <c r="J22" i="6"/>
  <c r="P22" i="6" s="1"/>
  <c r="K22" i="6"/>
  <c r="Q22" i="6" s="1"/>
  <c r="L22" i="6"/>
  <c r="R22" i="6" s="1"/>
  <c r="M22" i="6"/>
  <c r="S22" i="6" s="1"/>
  <c r="N22" i="6"/>
  <c r="T22" i="6" s="1"/>
  <c r="J23" i="6"/>
  <c r="P23" i="6" s="1"/>
  <c r="K23" i="6"/>
  <c r="Q23" i="6" s="1"/>
  <c r="L23" i="6"/>
  <c r="R23" i="6" s="1"/>
  <c r="M23" i="6"/>
  <c r="S23" i="6" s="1"/>
  <c r="N23" i="6"/>
  <c r="T23" i="6" s="1"/>
  <c r="J24" i="6"/>
  <c r="P24" i="6" s="1"/>
  <c r="K24" i="6"/>
  <c r="Q24" i="6" s="1"/>
  <c r="L24" i="6"/>
  <c r="R24" i="6" s="1"/>
  <c r="M24" i="6"/>
  <c r="S24" i="6" s="1"/>
  <c r="N24" i="6"/>
  <c r="T24" i="6" s="1"/>
  <c r="J25" i="6"/>
  <c r="P25" i="6" s="1"/>
  <c r="K25" i="6"/>
  <c r="Q25" i="6" s="1"/>
  <c r="L25" i="6"/>
  <c r="R25" i="6" s="1"/>
  <c r="J21" i="6"/>
  <c r="P21" i="6" s="1"/>
  <c r="L9" i="6"/>
  <c r="R9" i="6" s="1"/>
  <c r="M9" i="6"/>
  <c r="S9" i="6" s="1"/>
  <c r="N9" i="6"/>
  <c r="T9" i="6" s="1"/>
  <c r="M25" i="6"/>
  <c r="S25" i="6" s="1"/>
  <c r="N25" i="6"/>
  <c r="T25" i="6" s="1"/>
  <c r="J26" i="6"/>
  <c r="P26" i="6" s="1"/>
  <c r="K26" i="6"/>
  <c r="Q26" i="6" s="1"/>
  <c r="L26" i="6"/>
  <c r="R26" i="6" s="1"/>
  <c r="M26" i="6"/>
  <c r="S26" i="6" s="1"/>
  <c r="N26" i="6"/>
  <c r="T26" i="6" s="1"/>
  <c r="J27" i="6"/>
  <c r="P27" i="6" s="1"/>
  <c r="K27" i="6"/>
  <c r="Q27" i="6" s="1"/>
  <c r="L27" i="6"/>
  <c r="R27" i="6" s="1"/>
  <c r="M27" i="6"/>
  <c r="S27" i="6" s="1"/>
  <c r="N27" i="6"/>
  <c r="T27" i="6" s="1"/>
  <c r="J28" i="6"/>
  <c r="P28" i="6" s="1"/>
  <c r="K28" i="6"/>
  <c r="Q28" i="6" s="1"/>
  <c r="L28" i="6"/>
  <c r="R28" i="6" s="1"/>
  <c r="M28" i="6"/>
  <c r="S28" i="6" s="1"/>
  <c r="N28" i="6"/>
  <c r="T28" i="6" s="1"/>
  <c r="J29" i="6"/>
  <c r="P29" i="6" s="1"/>
  <c r="K29" i="6"/>
  <c r="Q29" i="6" s="1"/>
  <c r="L29" i="6"/>
  <c r="R29" i="6" s="1"/>
  <c r="M29" i="6"/>
  <c r="S29" i="6" s="1"/>
  <c r="N29" i="6"/>
  <c r="T29" i="6" s="1"/>
  <c r="J30" i="6"/>
  <c r="P30" i="6" s="1"/>
  <c r="K30" i="6"/>
  <c r="Q30" i="6" s="1"/>
  <c r="L30" i="6"/>
  <c r="R30" i="6" s="1"/>
  <c r="M30" i="6"/>
  <c r="S30" i="6" s="1"/>
  <c r="N30" i="6"/>
  <c r="T30" i="6" s="1"/>
  <c r="J31" i="6"/>
  <c r="P31" i="6" s="1"/>
  <c r="K31" i="6"/>
  <c r="Q31" i="6" s="1"/>
  <c r="L31" i="6"/>
  <c r="R31" i="6" s="1"/>
  <c r="M31" i="6"/>
  <c r="S31" i="6" s="1"/>
  <c r="N31" i="6"/>
  <c r="T31" i="6" s="1"/>
  <c r="J32" i="6"/>
  <c r="P32" i="6" s="1"/>
  <c r="K32" i="6"/>
  <c r="Q32" i="6" s="1"/>
  <c r="L32" i="6"/>
  <c r="R32" i="6" s="1"/>
  <c r="M32" i="6"/>
  <c r="S32" i="6" s="1"/>
  <c r="N36" i="6"/>
  <c r="T36" i="6" s="1"/>
  <c r="N32" i="6"/>
  <c r="T32" i="6" s="1"/>
  <c r="J33" i="6"/>
  <c r="P33" i="6" s="1"/>
  <c r="K33" i="6"/>
  <c r="Q33" i="6" s="1"/>
  <c r="J10" i="6"/>
  <c r="P10" i="6" s="1"/>
  <c r="L33" i="6"/>
  <c r="R33" i="6" s="1"/>
  <c r="M33" i="6"/>
  <c r="S33" i="6" s="1"/>
  <c r="N33" i="6"/>
  <c r="T33" i="6" s="1"/>
  <c r="J34" i="6"/>
  <c r="P34" i="6" s="1"/>
  <c r="K34" i="6"/>
  <c r="Q34" i="6" s="1"/>
  <c r="L34" i="6"/>
  <c r="R34" i="6" s="1"/>
  <c r="M34" i="6"/>
  <c r="S34" i="6" s="1"/>
  <c r="N34" i="6"/>
  <c r="T34" i="6" s="1"/>
  <c r="J35" i="6"/>
  <c r="P35" i="6" s="1"/>
  <c r="K35" i="6"/>
  <c r="Q35" i="6" s="1"/>
  <c r="L35" i="6"/>
  <c r="R35" i="6" s="1"/>
  <c r="M35" i="6"/>
  <c r="S35" i="6" s="1"/>
  <c r="N35" i="6"/>
  <c r="T35" i="6" s="1"/>
  <c r="J36" i="6"/>
  <c r="P36" i="6" s="1"/>
  <c r="K36" i="6"/>
  <c r="Q36" i="6" s="1"/>
  <c r="L36" i="6"/>
  <c r="R36" i="6" s="1"/>
  <c r="M36" i="6"/>
  <c r="S36" i="6" s="1"/>
  <c r="K10" i="6"/>
  <c r="Q10" i="6" s="1"/>
  <c r="L10" i="6"/>
  <c r="R10" i="6" s="1"/>
  <c r="M10" i="6"/>
  <c r="S10" i="6" s="1"/>
  <c r="J4" i="6"/>
  <c r="K4" i="6"/>
  <c r="L4" i="6"/>
  <c r="M4" i="6"/>
  <c r="N4" i="6"/>
  <c r="J5" i="6"/>
  <c r="P5" i="6" s="1"/>
  <c r="K5" i="6"/>
  <c r="Q5" i="6" s="1"/>
  <c r="L5" i="6"/>
  <c r="R5" i="6" s="1"/>
  <c r="M5" i="6"/>
  <c r="S5" i="6" s="1"/>
  <c r="N5" i="6"/>
  <c r="T5" i="6" s="1"/>
  <c r="N10" i="6"/>
  <c r="T10" i="6" s="1"/>
  <c r="J11" i="6"/>
  <c r="P11" i="6" s="1"/>
  <c r="K11" i="6"/>
  <c r="Q11" i="6" s="1"/>
  <c r="J6" i="6"/>
  <c r="P6" i="6" s="1"/>
  <c r="K6" i="6"/>
  <c r="Q6" i="6" s="1"/>
  <c r="L6" i="6"/>
  <c r="R6" i="6" s="1"/>
  <c r="L11" i="6"/>
  <c r="R11" i="6" s="1"/>
  <c r="M11" i="6"/>
  <c r="S11" i="6" s="1"/>
  <c r="N11" i="6"/>
  <c r="T11" i="6" s="1"/>
  <c r="M6" i="6"/>
  <c r="S6" i="6" s="1"/>
  <c r="N6" i="6"/>
  <c r="T6" i="6" s="1"/>
  <c r="J7" i="6"/>
  <c r="P7" i="6" s="1"/>
  <c r="K7" i="6"/>
  <c r="Q7" i="6" s="1"/>
  <c r="L7" i="6"/>
  <c r="R7" i="6" s="1"/>
  <c r="M7" i="6"/>
  <c r="S7" i="6" s="1"/>
  <c r="N7" i="6"/>
  <c r="T7" i="6" s="1"/>
  <c r="J8" i="6"/>
  <c r="P8" i="6" s="1"/>
  <c r="K8" i="6"/>
  <c r="Q8" i="6" s="1"/>
  <c r="L8" i="6"/>
  <c r="R8" i="6" s="1"/>
  <c r="M8" i="6"/>
  <c r="S8" i="6" s="1"/>
  <c r="N8" i="6"/>
  <c r="T8" i="6" s="1"/>
  <c r="J9" i="6"/>
  <c r="P9" i="6" s="1"/>
  <c r="M19" i="4"/>
  <c r="L19" i="4"/>
  <c r="K19" i="4"/>
  <c r="J19" i="4"/>
  <c r="I19" i="4"/>
  <c r="H19" i="4"/>
  <c r="R19" i="4" s="1"/>
  <c r="X19" i="4" s="1"/>
  <c r="G19" i="4"/>
  <c r="Q19" i="4" s="1"/>
  <c r="W19" i="4" s="1"/>
  <c r="F19" i="4"/>
  <c r="P19" i="4" s="1"/>
  <c r="V19" i="4" s="1"/>
  <c r="E19" i="4"/>
  <c r="O19" i="4" s="1"/>
  <c r="U19" i="4" s="1"/>
  <c r="D19" i="4"/>
  <c r="N19" i="4" s="1"/>
  <c r="T19" i="4" s="1"/>
  <c r="M18" i="4"/>
  <c r="L18" i="4"/>
  <c r="K18" i="4"/>
  <c r="J18" i="4"/>
  <c r="I18" i="4"/>
  <c r="H18" i="4"/>
  <c r="R18" i="4" s="1"/>
  <c r="X18" i="4" s="1"/>
  <c r="G18" i="4"/>
  <c r="Q18" i="4" s="1"/>
  <c r="W18" i="4" s="1"/>
  <c r="F18" i="4"/>
  <c r="P18" i="4" s="1"/>
  <c r="V18" i="4" s="1"/>
  <c r="E18" i="4"/>
  <c r="O18" i="4" s="1"/>
  <c r="U18" i="4" s="1"/>
  <c r="D18" i="4"/>
  <c r="N18" i="4" s="1"/>
  <c r="T18" i="4" s="1"/>
  <c r="Y18" i="4" s="1"/>
  <c r="M17" i="4"/>
  <c r="L17" i="4"/>
  <c r="K17" i="4"/>
  <c r="J17" i="4"/>
  <c r="I17" i="4"/>
  <c r="H17" i="4"/>
  <c r="R17" i="4" s="1"/>
  <c r="X17" i="4" s="1"/>
  <c r="G17" i="4"/>
  <c r="Q17" i="4" s="1"/>
  <c r="W17" i="4" s="1"/>
  <c r="F17" i="4"/>
  <c r="P17" i="4" s="1"/>
  <c r="V17" i="4" s="1"/>
  <c r="E17" i="4"/>
  <c r="O17" i="4" s="1"/>
  <c r="U17" i="4" s="1"/>
  <c r="D17" i="4"/>
  <c r="N17" i="4" s="1"/>
  <c r="T17" i="4" s="1"/>
  <c r="Y17" i="4" s="1"/>
  <c r="M16" i="4"/>
  <c r="L16" i="4"/>
  <c r="K16" i="4"/>
  <c r="J16" i="4"/>
  <c r="I16" i="4"/>
  <c r="H16" i="4"/>
  <c r="R16" i="4" s="1"/>
  <c r="X16" i="4" s="1"/>
  <c r="G16" i="4"/>
  <c r="Q16" i="4" s="1"/>
  <c r="W16" i="4" s="1"/>
  <c r="F16" i="4"/>
  <c r="P16" i="4" s="1"/>
  <c r="V16" i="4" s="1"/>
  <c r="E16" i="4"/>
  <c r="O16" i="4" s="1"/>
  <c r="U16" i="4" s="1"/>
  <c r="D16" i="4"/>
  <c r="N16" i="4" s="1"/>
  <c r="T16" i="4" s="1"/>
  <c r="Y16" i="4" s="1"/>
  <c r="M15" i="4"/>
  <c r="L15" i="4"/>
  <c r="K15" i="4"/>
  <c r="J15" i="4"/>
  <c r="I15" i="4"/>
  <c r="H15" i="4"/>
  <c r="R15" i="4" s="1"/>
  <c r="X15" i="4" s="1"/>
  <c r="G15" i="4"/>
  <c r="Q15" i="4" s="1"/>
  <c r="W15" i="4" s="1"/>
  <c r="F15" i="4"/>
  <c r="P15" i="4" s="1"/>
  <c r="V15" i="4" s="1"/>
  <c r="E15" i="4"/>
  <c r="O15" i="4" s="1"/>
  <c r="U15" i="4" s="1"/>
  <c r="D15" i="4"/>
  <c r="N15" i="4" s="1"/>
  <c r="T15" i="4" s="1"/>
  <c r="M14" i="4"/>
  <c r="L14" i="4"/>
  <c r="K14" i="4"/>
  <c r="J14" i="4"/>
  <c r="I14" i="4"/>
  <c r="H14" i="4"/>
  <c r="R14" i="4" s="1"/>
  <c r="X14" i="4" s="1"/>
  <c r="G14" i="4"/>
  <c r="Q14" i="4" s="1"/>
  <c r="W14" i="4" s="1"/>
  <c r="F14" i="4"/>
  <c r="P14" i="4" s="1"/>
  <c r="V14" i="4" s="1"/>
  <c r="E14" i="4"/>
  <c r="O14" i="4" s="1"/>
  <c r="U14" i="4" s="1"/>
  <c r="D14" i="4"/>
  <c r="N14" i="4" s="1"/>
  <c r="T14" i="4" s="1"/>
  <c r="Y14" i="4" s="1"/>
  <c r="M13" i="4"/>
  <c r="L13" i="4"/>
  <c r="K13" i="4"/>
  <c r="J13" i="4"/>
  <c r="I13" i="4"/>
  <c r="K48" i="4"/>
  <c r="H13" i="4"/>
  <c r="R13" i="4" s="1"/>
  <c r="X13" i="4" s="1"/>
  <c r="G13" i="4"/>
  <c r="Q13" i="4" s="1"/>
  <c r="W13" i="4" s="1"/>
  <c r="F13" i="4"/>
  <c r="P13" i="4" s="1"/>
  <c r="V13" i="4" s="1"/>
  <c r="E13" i="4"/>
  <c r="O13" i="4" s="1"/>
  <c r="U13" i="4" s="1"/>
  <c r="D13" i="4"/>
  <c r="N13" i="4" s="1"/>
  <c r="T13" i="4" s="1"/>
  <c r="Y13" i="4" s="1"/>
  <c r="M12" i="4"/>
  <c r="L12" i="4"/>
  <c r="K12" i="4"/>
  <c r="M66" i="4"/>
  <c r="L66" i="4"/>
  <c r="K66" i="4"/>
  <c r="J66" i="4"/>
  <c r="I66" i="4"/>
  <c r="H66" i="4"/>
  <c r="G66" i="4"/>
  <c r="F66" i="4"/>
  <c r="E66" i="4"/>
  <c r="D66" i="4"/>
  <c r="J12" i="4"/>
  <c r="I12" i="4"/>
  <c r="H12" i="4"/>
  <c r="R12" i="4" s="1"/>
  <c r="X12" i="4" s="1"/>
  <c r="G12" i="4"/>
  <c r="Q12" i="4" s="1"/>
  <c r="W12" i="4" s="1"/>
  <c r="F12" i="4"/>
  <c r="P12" i="4" s="1"/>
  <c r="V12" i="4" s="1"/>
  <c r="M65" i="4"/>
  <c r="L65" i="4"/>
  <c r="K65" i="4"/>
  <c r="J65" i="4"/>
  <c r="I65" i="4"/>
  <c r="H65" i="4"/>
  <c r="G65" i="4"/>
  <c r="F65" i="4"/>
  <c r="E65" i="4"/>
  <c r="D65" i="4"/>
  <c r="E12" i="4"/>
  <c r="O12" i="4" s="1"/>
  <c r="U12" i="4" s="1"/>
  <c r="D12" i="4"/>
  <c r="N12" i="4" s="1"/>
  <c r="T12" i="4" s="1"/>
  <c r="Y12" i="4" s="1"/>
  <c r="M11" i="4"/>
  <c r="L11" i="4"/>
  <c r="K11" i="4"/>
  <c r="M64" i="4"/>
  <c r="L64" i="4"/>
  <c r="K64" i="4"/>
  <c r="J64" i="4"/>
  <c r="I64" i="4"/>
  <c r="H64" i="4"/>
  <c r="G64" i="4"/>
  <c r="F64" i="4"/>
  <c r="E64" i="4"/>
  <c r="O64" i="4" s="1"/>
  <c r="U64" i="4" s="1"/>
  <c r="D64" i="4"/>
  <c r="J11" i="4"/>
  <c r="I11" i="4"/>
  <c r="H11" i="4"/>
  <c r="R11" i="4" s="1"/>
  <c r="X11" i="4" s="1"/>
  <c r="G11" i="4"/>
  <c r="Q11" i="4" s="1"/>
  <c r="W11" i="4" s="1"/>
  <c r="F11" i="4"/>
  <c r="P11" i="4" s="1"/>
  <c r="V11" i="4" s="1"/>
  <c r="M63" i="4"/>
  <c r="L63" i="4"/>
  <c r="K63" i="4"/>
  <c r="J63" i="4"/>
  <c r="I63" i="4"/>
  <c r="H63" i="4"/>
  <c r="G63" i="4"/>
  <c r="F63" i="4"/>
  <c r="E63" i="4"/>
  <c r="D63" i="4"/>
  <c r="E11" i="4"/>
  <c r="O11" i="4" s="1"/>
  <c r="U11" i="4" s="1"/>
  <c r="D11" i="4"/>
  <c r="N11" i="4" s="1"/>
  <c r="T11" i="4" s="1"/>
  <c r="M10" i="4"/>
  <c r="L10" i="4"/>
  <c r="K10" i="4"/>
  <c r="M62" i="4"/>
  <c r="L62" i="4"/>
  <c r="K62" i="4"/>
  <c r="J62" i="4"/>
  <c r="I62" i="4"/>
  <c r="H62" i="4"/>
  <c r="G62" i="4"/>
  <c r="F62" i="4"/>
  <c r="E62" i="4"/>
  <c r="D62" i="4"/>
  <c r="J10" i="4"/>
  <c r="I10" i="4"/>
  <c r="H10" i="4"/>
  <c r="R10" i="4" s="1"/>
  <c r="X10" i="4" s="1"/>
  <c r="G10" i="4"/>
  <c r="Q10" i="4" s="1"/>
  <c r="W10" i="4" s="1"/>
  <c r="F10" i="4"/>
  <c r="P10" i="4" s="1"/>
  <c r="V10" i="4" s="1"/>
  <c r="M61" i="4"/>
  <c r="L61" i="4"/>
  <c r="K61" i="4"/>
  <c r="J61" i="4"/>
  <c r="I61" i="4"/>
  <c r="H61" i="4"/>
  <c r="G61" i="4"/>
  <c r="F61" i="4"/>
  <c r="E61" i="4"/>
  <c r="D61" i="4"/>
  <c r="E10" i="4"/>
  <c r="O10" i="4" s="1"/>
  <c r="U10" i="4" s="1"/>
  <c r="D10" i="4"/>
  <c r="N10" i="4" s="1"/>
  <c r="T10" i="4" s="1"/>
  <c r="Y10" i="4" s="1"/>
  <c r="M9" i="4"/>
  <c r="K9" i="4"/>
  <c r="I9" i="4"/>
  <c r="M60" i="4"/>
  <c r="L60" i="4"/>
  <c r="K60" i="4"/>
  <c r="J60" i="4"/>
  <c r="I60" i="4"/>
  <c r="H60" i="4"/>
  <c r="R60" i="4" s="1"/>
  <c r="X60" i="4" s="1"/>
  <c r="G60" i="4"/>
  <c r="F60" i="4"/>
  <c r="E60" i="4"/>
  <c r="D60" i="4"/>
  <c r="G9" i="4"/>
  <c r="Q9" i="4" s="1"/>
  <c r="W9" i="4" s="1"/>
  <c r="E9" i="4"/>
  <c r="O9" i="4" s="1"/>
  <c r="U9" i="4" s="1"/>
  <c r="M8" i="4"/>
  <c r="L8" i="4"/>
  <c r="K8" i="4"/>
  <c r="M59" i="4"/>
  <c r="L59" i="4"/>
  <c r="K59" i="4"/>
  <c r="J59" i="4"/>
  <c r="I59" i="4"/>
  <c r="H59" i="4"/>
  <c r="R59" i="4" s="1"/>
  <c r="X59" i="4" s="1"/>
  <c r="G59" i="4"/>
  <c r="Q59" i="4" s="1"/>
  <c r="W59" i="4" s="1"/>
  <c r="F59" i="4"/>
  <c r="P59" i="4" s="1"/>
  <c r="V59" i="4" s="1"/>
  <c r="E59" i="4"/>
  <c r="O59" i="4" s="1"/>
  <c r="U59" i="4" s="1"/>
  <c r="D59" i="4"/>
  <c r="N59" i="4" s="1"/>
  <c r="T59" i="4" s="1"/>
  <c r="J8" i="4"/>
  <c r="I8" i="4"/>
  <c r="H8" i="4"/>
  <c r="R8" i="4" s="1"/>
  <c r="X8" i="4" s="1"/>
  <c r="G8" i="4"/>
  <c r="Q8" i="4" s="1"/>
  <c r="W8" i="4" s="1"/>
  <c r="F8" i="4"/>
  <c r="P8" i="4" s="1"/>
  <c r="V8" i="4" s="1"/>
  <c r="M58" i="4"/>
  <c r="L58" i="4"/>
  <c r="K58" i="4"/>
  <c r="J58" i="4"/>
  <c r="I58" i="4"/>
  <c r="H58" i="4"/>
  <c r="R58" i="4" s="1"/>
  <c r="X58" i="4" s="1"/>
  <c r="G58" i="4"/>
  <c r="Q58" i="4" s="1"/>
  <c r="W58" i="4" s="1"/>
  <c r="F58" i="4"/>
  <c r="P58" i="4" s="1"/>
  <c r="V58" i="4" s="1"/>
  <c r="E58" i="4"/>
  <c r="O58" i="4" s="1"/>
  <c r="U58" i="4" s="1"/>
  <c r="D58" i="4"/>
  <c r="N58" i="4" s="1"/>
  <c r="T58" i="4" s="1"/>
  <c r="E8" i="4"/>
  <c r="O8" i="4" s="1"/>
  <c r="U8" i="4" s="1"/>
  <c r="D8" i="4"/>
  <c r="N8" i="4" s="1"/>
  <c r="T8" i="4" s="1"/>
  <c r="Y8" i="4" s="1"/>
  <c r="M7" i="4"/>
  <c r="L7" i="4"/>
  <c r="K7" i="4"/>
  <c r="M57" i="4"/>
  <c r="L57" i="4"/>
  <c r="K57" i="4"/>
  <c r="J57" i="4"/>
  <c r="I57" i="4"/>
  <c r="H57" i="4"/>
  <c r="R57" i="4" s="1"/>
  <c r="X57" i="4" s="1"/>
  <c r="G57" i="4"/>
  <c r="Q57" i="4" s="1"/>
  <c r="W57" i="4" s="1"/>
  <c r="F57" i="4"/>
  <c r="P57" i="4" s="1"/>
  <c r="V57" i="4" s="1"/>
  <c r="E57" i="4"/>
  <c r="O57" i="4" s="1"/>
  <c r="U57" i="4" s="1"/>
  <c r="D57" i="4"/>
  <c r="N57" i="4" s="1"/>
  <c r="T57" i="4" s="1"/>
  <c r="Y57" i="4" s="1"/>
  <c r="J7" i="4"/>
  <c r="I7" i="4"/>
  <c r="H7" i="4"/>
  <c r="R7" i="4" s="1"/>
  <c r="X7" i="4" s="1"/>
  <c r="G7" i="4"/>
  <c r="Q7" i="4" s="1"/>
  <c r="W7" i="4" s="1"/>
  <c r="F7" i="4"/>
  <c r="P7" i="4" s="1"/>
  <c r="V7" i="4" s="1"/>
  <c r="M56" i="4"/>
  <c r="L56" i="4"/>
  <c r="K56" i="4"/>
  <c r="J56" i="4"/>
  <c r="I56" i="4"/>
  <c r="H56" i="4"/>
  <c r="R56" i="4" s="1"/>
  <c r="X56" i="4" s="1"/>
  <c r="G56" i="4"/>
  <c r="Q56" i="4" s="1"/>
  <c r="W56" i="4" s="1"/>
  <c r="F56" i="4"/>
  <c r="P56" i="4" s="1"/>
  <c r="V56" i="4" s="1"/>
  <c r="E56" i="4"/>
  <c r="O56" i="4" s="1"/>
  <c r="U56" i="4" s="1"/>
  <c r="D56" i="4"/>
  <c r="N56" i="4" s="1"/>
  <c r="T56" i="4" s="1"/>
  <c r="Y56" i="4" s="1"/>
  <c r="E7" i="4"/>
  <c r="O7" i="4" s="1"/>
  <c r="U7" i="4" s="1"/>
  <c r="D7" i="4"/>
  <c r="N7" i="4" s="1"/>
  <c r="T7" i="4" s="1"/>
  <c r="Y7" i="4" s="1"/>
  <c r="M6" i="4"/>
  <c r="L6" i="4"/>
  <c r="K6" i="4"/>
  <c r="M55" i="4"/>
  <c r="L55" i="4"/>
  <c r="K55" i="4"/>
  <c r="J55" i="4"/>
  <c r="I55" i="4"/>
  <c r="H55" i="4"/>
  <c r="R55" i="4" s="1"/>
  <c r="X55" i="4" s="1"/>
  <c r="G55" i="4"/>
  <c r="Q55" i="4" s="1"/>
  <c r="W55" i="4" s="1"/>
  <c r="F55" i="4"/>
  <c r="P55" i="4" s="1"/>
  <c r="V55" i="4" s="1"/>
  <c r="E55" i="4"/>
  <c r="O55" i="4" s="1"/>
  <c r="U55" i="4" s="1"/>
  <c r="D55" i="4"/>
  <c r="N55" i="4" s="1"/>
  <c r="T55" i="4" s="1"/>
  <c r="Y55" i="4" s="1"/>
  <c r="J6" i="4"/>
  <c r="I6" i="4"/>
  <c r="H6" i="4"/>
  <c r="R6" i="4" s="1"/>
  <c r="X6" i="4" s="1"/>
  <c r="G6" i="4"/>
  <c r="Q6" i="4" s="1"/>
  <c r="W6" i="4" s="1"/>
  <c r="F6" i="4"/>
  <c r="P6" i="4" s="1"/>
  <c r="V6" i="4" s="1"/>
  <c r="M54" i="4"/>
  <c r="L54" i="4"/>
  <c r="K54" i="4"/>
  <c r="J54" i="4"/>
  <c r="I54" i="4"/>
  <c r="H54" i="4"/>
  <c r="R54" i="4" s="1"/>
  <c r="X54" i="4" s="1"/>
  <c r="G54" i="4"/>
  <c r="Q54" i="4" s="1"/>
  <c r="W54" i="4" s="1"/>
  <c r="F54" i="4"/>
  <c r="P54" i="4" s="1"/>
  <c r="V54" i="4" s="1"/>
  <c r="E54" i="4"/>
  <c r="O54" i="4" s="1"/>
  <c r="U54" i="4" s="1"/>
  <c r="D54" i="4"/>
  <c r="N54" i="4" s="1"/>
  <c r="T54" i="4" s="1"/>
  <c r="Y54" i="4" s="1"/>
  <c r="E6" i="4"/>
  <c r="O6" i="4" s="1"/>
  <c r="U6" i="4" s="1"/>
  <c r="D6" i="4"/>
  <c r="N6" i="4" s="1"/>
  <c r="T6" i="4" s="1"/>
  <c r="M5" i="4"/>
  <c r="L5" i="4"/>
  <c r="K5" i="4"/>
  <c r="M53" i="4"/>
  <c r="L53" i="4"/>
  <c r="K53" i="4"/>
  <c r="J53" i="4"/>
  <c r="I53" i="4"/>
  <c r="H53" i="4"/>
  <c r="R53" i="4" s="1"/>
  <c r="X53" i="4" s="1"/>
  <c r="G53" i="4"/>
  <c r="Q53" i="4" s="1"/>
  <c r="W53" i="4" s="1"/>
  <c r="F53" i="4"/>
  <c r="P53" i="4" s="1"/>
  <c r="V53" i="4" s="1"/>
  <c r="E53" i="4"/>
  <c r="O53" i="4" s="1"/>
  <c r="U53" i="4" s="1"/>
  <c r="D53" i="4"/>
  <c r="N53" i="4" s="1"/>
  <c r="T53" i="4" s="1"/>
  <c r="J5" i="4"/>
  <c r="I5" i="4"/>
  <c r="H5" i="4"/>
  <c r="R5" i="4" s="1"/>
  <c r="X5" i="4" s="1"/>
  <c r="G5" i="4"/>
  <c r="Q5" i="4" s="1"/>
  <c r="W5" i="4" s="1"/>
  <c r="F5" i="4"/>
  <c r="P5" i="4" s="1"/>
  <c r="V5" i="4" s="1"/>
  <c r="M52" i="4"/>
  <c r="L52" i="4"/>
  <c r="K52" i="4"/>
  <c r="J52" i="4"/>
  <c r="I52" i="4"/>
  <c r="H52" i="4"/>
  <c r="R52" i="4" s="1"/>
  <c r="X52" i="4" s="1"/>
  <c r="G52" i="4"/>
  <c r="Q52" i="4" s="1"/>
  <c r="W52" i="4" s="1"/>
  <c r="F52" i="4"/>
  <c r="P52" i="4" s="1"/>
  <c r="V52" i="4" s="1"/>
  <c r="E52" i="4"/>
  <c r="O52" i="4" s="1"/>
  <c r="U52" i="4" s="1"/>
  <c r="D52" i="4"/>
  <c r="N52" i="4" s="1"/>
  <c r="T52" i="4" s="1"/>
  <c r="Y52" i="4" s="1"/>
  <c r="E5" i="4"/>
  <c r="O5" i="4" s="1"/>
  <c r="U5" i="4" s="1"/>
  <c r="D5" i="4"/>
  <c r="N5" i="4" s="1"/>
  <c r="T5" i="4" s="1"/>
  <c r="Y5" i="4" s="1"/>
  <c r="M4" i="4"/>
  <c r="L4" i="4"/>
  <c r="K4" i="4"/>
  <c r="M51" i="4"/>
  <c r="L51" i="4"/>
  <c r="K51" i="4"/>
  <c r="J51" i="4"/>
  <c r="I51" i="4"/>
  <c r="H51" i="4"/>
  <c r="R51" i="4" s="1"/>
  <c r="X51" i="4" s="1"/>
  <c r="G51" i="4"/>
  <c r="Q51" i="4" s="1"/>
  <c r="W51" i="4" s="1"/>
  <c r="F51" i="4"/>
  <c r="P51" i="4" s="1"/>
  <c r="V51" i="4" s="1"/>
  <c r="E51" i="4"/>
  <c r="O51" i="4" s="1"/>
  <c r="U51" i="4" s="1"/>
  <c r="D51" i="4"/>
  <c r="N51" i="4" s="1"/>
  <c r="T51" i="4" s="1"/>
  <c r="Y51" i="4" s="1"/>
  <c r="J4" i="4"/>
  <c r="I4" i="4"/>
  <c r="H4" i="4"/>
  <c r="R4" i="4" s="1"/>
  <c r="X4" i="4" s="1"/>
  <c r="G4" i="4"/>
  <c r="Q4" i="4" s="1"/>
  <c r="W4" i="4" s="1"/>
  <c r="F4" i="4"/>
  <c r="P4" i="4" s="1"/>
  <c r="V4" i="4" s="1"/>
  <c r="M50" i="4"/>
  <c r="L50" i="4"/>
  <c r="K50" i="4"/>
  <c r="J50" i="4"/>
  <c r="I50" i="4"/>
  <c r="H50" i="4"/>
  <c r="R50" i="4" s="1"/>
  <c r="X50" i="4" s="1"/>
  <c r="G50" i="4"/>
  <c r="Q50" i="4" s="1"/>
  <c r="W50" i="4" s="1"/>
  <c r="F50" i="4"/>
  <c r="P50" i="4" s="1"/>
  <c r="V50" i="4" s="1"/>
  <c r="E50" i="4"/>
  <c r="O50" i="4" s="1"/>
  <c r="U50" i="4" s="1"/>
  <c r="D50" i="4"/>
  <c r="N50" i="4" s="1"/>
  <c r="T50" i="4" s="1"/>
  <c r="E4" i="4"/>
  <c r="O4" i="4" s="1"/>
  <c r="U4" i="4" s="1"/>
  <c r="D4" i="4"/>
  <c r="N4" i="4" s="1"/>
  <c r="T4" i="4" s="1"/>
  <c r="M49" i="4"/>
  <c r="L49" i="4"/>
  <c r="K49" i="4"/>
  <c r="J49" i="4"/>
  <c r="I49" i="4"/>
  <c r="H49" i="4"/>
  <c r="R49" i="4" s="1"/>
  <c r="X49" i="4" s="1"/>
  <c r="G49" i="4"/>
  <c r="Q49" i="4" s="1"/>
  <c r="W49" i="4" s="1"/>
  <c r="F49" i="4"/>
  <c r="P49" i="4" s="1"/>
  <c r="V49" i="4" s="1"/>
  <c r="E49" i="4"/>
  <c r="O49" i="4" s="1"/>
  <c r="U49" i="4" s="1"/>
  <c r="D49" i="4"/>
  <c r="N49" i="4" s="1"/>
  <c r="T49" i="4" s="1"/>
  <c r="Y49" i="4" s="1"/>
  <c r="M48" i="4"/>
  <c r="L48" i="4"/>
  <c r="J48" i="4"/>
  <c r="I48" i="4"/>
  <c r="H48" i="4"/>
  <c r="R48" i="4" s="1"/>
  <c r="X48" i="4" s="1"/>
  <c r="G48" i="4"/>
  <c r="Q48" i="4" s="1"/>
  <c r="W48" i="4" s="1"/>
  <c r="F48" i="4"/>
  <c r="P48" i="4" s="1"/>
  <c r="V48" i="4" s="1"/>
  <c r="E48" i="4"/>
  <c r="O48" i="4" s="1"/>
  <c r="U48" i="4" s="1"/>
  <c r="D48" i="4"/>
  <c r="N48" i="4" s="1"/>
  <c r="T48" i="4" s="1"/>
  <c r="Y48" i="4" s="1"/>
  <c r="M47" i="4"/>
  <c r="L47" i="4"/>
  <c r="K47" i="4"/>
  <c r="J47" i="4"/>
  <c r="I47" i="4"/>
  <c r="H47" i="4"/>
  <c r="R47" i="4" s="1"/>
  <c r="X47" i="4" s="1"/>
  <c r="G47" i="4"/>
  <c r="Q47" i="4" s="1"/>
  <c r="W47" i="4" s="1"/>
  <c r="F47" i="4"/>
  <c r="P47" i="4" s="1"/>
  <c r="V47" i="4" s="1"/>
  <c r="E47" i="4"/>
  <c r="O47" i="4" s="1"/>
  <c r="U47" i="4" s="1"/>
  <c r="D47" i="4"/>
  <c r="N47" i="4" s="1"/>
  <c r="T47" i="4" s="1"/>
  <c r="M46" i="4"/>
  <c r="L46" i="4"/>
  <c r="K46" i="4"/>
  <c r="J46" i="4"/>
  <c r="I46" i="4"/>
  <c r="H46" i="4"/>
  <c r="R46" i="4" s="1"/>
  <c r="X46" i="4" s="1"/>
  <c r="G46" i="4"/>
  <c r="Q46" i="4" s="1"/>
  <c r="W46" i="4" s="1"/>
  <c r="F46" i="4"/>
  <c r="P46" i="4" s="1"/>
  <c r="V46" i="4" s="1"/>
  <c r="E46" i="4"/>
  <c r="O46" i="4" s="1"/>
  <c r="U46" i="4" s="1"/>
  <c r="D46" i="4"/>
  <c r="N46" i="4" s="1"/>
  <c r="T46" i="4" s="1"/>
  <c r="M45" i="4"/>
  <c r="L45" i="4"/>
  <c r="K45" i="4"/>
  <c r="J45" i="4"/>
  <c r="I45" i="4"/>
  <c r="H45" i="4"/>
  <c r="R45" i="4" s="1"/>
  <c r="X45" i="4" s="1"/>
  <c r="G45" i="4"/>
  <c r="Q45" i="4" s="1"/>
  <c r="W45" i="4" s="1"/>
  <c r="F45" i="4"/>
  <c r="P45" i="4" s="1"/>
  <c r="V45" i="4" s="1"/>
  <c r="E45" i="4"/>
  <c r="O45" i="4" s="1"/>
  <c r="U45" i="4" s="1"/>
  <c r="D45" i="4"/>
  <c r="N45" i="4" s="1"/>
  <c r="T45" i="4" s="1"/>
  <c r="Y45" i="4" s="1"/>
  <c r="M44" i="4"/>
  <c r="L44" i="4"/>
  <c r="K44" i="4"/>
  <c r="J44" i="4"/>
  <c r="I44" i="4"/>
  <c r="H44" i="4"/>
  <c r="R44" i="4" s="1"/>
  <c r="X44" i="4" s="1"/>
  <c r="G44" i="4"/>
  <c r="Q44" i="4" s="1"/>
  <c r="W44" i="4" s="1"/>
  <c r="F44" i="4"/>
  <c r="P44" i="4" s="1"/>
  <c r="V44" i="4" s="1"/>
  <c r="E44" i="4"/>
  <c r="O44" i="4" s="1"/>
  <c r="U44" i="4" s="1"/>
  <c r="D44" i="4"/>
  <c r="N44" i="4" s="1"/>
  <c r="T44" i="4" s="1"/>
  <c r="Y44" i="4" s="1"/>
  <c r="M43" i="4"/>
  <c r="L43" i="4"/>
  <c r="K43" i="4"/>
  <c r="J43" i="4"/>
  <c r="I43" i="4"/>
  <c r="H43" i="4"/>
  <c r="R43" i="4" s="1"/>
  <c r="X43" i="4" s="1"/>
  <c r="G43" i="4"/>
  <c r="Q43" i="4" s="1"/>
  <c r="W43" i="4" s="1"/>
  <c r="F43" i="4"/>
  <c r="P43" i="4" s="1"/>
  <c r="V43" i="4" s="1"/>
  <c r="E43" i="4"/>
  <c r="O43" i="4" s="1"/>
  <c r="U43" i="4" s="1"/>
  <c r="D43" i="4"/>
  <c r="N43" i="4" s="1"/>
  <c r="T43" i="4" s="1"/>
  <c r="Y43" i="4" s="1"/>
  <c r="M42" i="4"/>
  <c r="L42" i="4"/>
  <c r="K42" i="4"/>
  <c r="J42" i="4"/>
  <c r="I42" i="4"/>
  <c r="H42" i="4"/>
  <c r="R42" i="4" s="1"/>
  <c r="X42" i="4" s="1"/>
  <c r="G42" i="4"/>
  <c r="Q42" i="4" s="1"/>
  <c r="W42" i="4" s="1"/>
  <c r="F42" i="4"/>
  <c r="P42" i="4" s="1"/>
  <c r="V42" i="4" s="1"/>
  <c r="E42" i="4"/>
  <c r="O42" i="4" s="1"/>
  <c r="U42" i="4" s="1"/>
  <c r="D42" i="4"/>
  <c r="N42" i="4" s="1"/>
  <c r="T42" i="4" s="1"/>
  <c r="Y42" i="4" s="1"/>
  <c r="M41" i="4"/>
  <c r="L41" i="4"/>
  <c r="K41" i="4"/>
  <c r="J41" i="4"/>
  <c r="I41" i="4"/>
  <c r="H41" i="4"/>
  <c r="R41" i="4" s="1"/>
  <c r="X41" i="4" s="1"/>
  <c r="G41" i="4"/>
  <c r="Q41" i="4" s="1"/>
  <c r="W41" i="4" s="1"/>
  <c r="F41" i="4"/>
  <c r="P41" i="4" s="1"/>
  <c r="V41" i="4" s="1"/>
  <c r="E41" i="4"/>
  <c r="O41" i="4" s="1"/>
  <c r="U41" i="4" s="1"/>
  <c r="D41" i="4"/>
  <c r="N41" i="4" s="1"/>
  <c r="T41" i="4" s="1"/>
  <c r="Y41" i="4" s="1"/>
  <c r="M40" i="4"/>
  <c r="L40" i="4"/>
  <c r="K40" i="4"/>
  <c r="J40" i="4"/>
  <c r="I40" i="4"/>
  <c r="H40" i="4"/>
  <c r="R40" i="4" s="1"/>
  <c r="X40" i="4" s="1"/>
  <c r="G40" i="4"/>
  <c r="Q40" i="4" s="1"/>
  <c r="W40" i="4" s="1"/>
  <c r="F40" i="4"/>
  <c r="P40" i="4" s="1"/>
  <c r="V40" i="4" s="1"/>
  <c r="E40" i="4"/>
  <c r="O40" i="4" s="1"/>
  <c r="U40" i="4" s="1"/>
  <c r="D40" i="4"/>
  <c r="N40" i="4" s="1"/>
  <c r="T40" i="4" s="1"/>
  <c r="Y40" i="4" s="1"/>
  <c r="M39" i="4"/>
  <c r="L39" i="4"/>
  <c r="K39" i="4"/>
  <c r="J39" i="4"/>
  <c r="I39" i="4"/>
  <c r="H39" i="4"/>
  <c r="R39" i="4" s="1"/>
  <c r="X39" i="4" s="1"/>
  <c r="G39" i="4"/>
  <c r="Q39" i="4" s="1"/>
  <c r="W39" i="4" s="1"/>
  <c r="F39" i="4"/>
  <c r="P39" i="4" s="1"/>
  <c r="V39" i="4" s="1"/>
  <c r="E39" i="4"/>
  <c r="O39" i="4" s="1"/>
  <c r="U39" i="4" s="1"/>
  <c r="D39" i="4"/>
  <c r="N39" i="4" s="1"/>
  <c r="T39" i="4" s="1"/>
  <c r="M38" i="4"/>
  <c r="L38" i="4"/>
  <c r="K38" i="4"/>
  <c r="J38" i="4"/>
  <c r="I38" i="4"/>
  <c r="H38" i="4"/>
  <c r="R38" i="4" s="1"/>
  <c r="X38" i="4" s="1"/>
  <c r="G38" i="4"/>
  <c r="Q38" i="4" s="1"/>
  <c r="W38" i="4" s="1"/>
  <c r="F38" i="4"/>
  <c r="P38" i="4" s="1"/>
  <c r="V38" i="4" s="1"/>
  <c r="E38" i="4"/>
  <c r="O38" i="4" s="1"/>
  <c r="U38" i="4" s="1"/>
  <c r="D38" i="4"/>
  <c r="N38" i="4" s="1"/>
  <c r="T38" i="4" s="1"/>
  <c r="L9" i="4"/>
  <c r="J9" i="4"/>
  <c r="H9" i="4"/>
  <c r="R9" i="4" s="1"/>
  <c r="X9" i="4" s="1"/>
  <c r="F9" i="4"/>
  <c r="P9" i="4" s="1"/>
  <c r="V9" i="4" s="1"/>
  <c r="D9" i="4"/>
  <c r="N9" i="4" s="1"/>
  <c r="T9" i="4" s="1"/>
  <c r="M37" i="4"/>
  <c r="L37" i="4"/>
  <c r="K37" i="4"/>
  <c r="J37" i="4"/>
  <c r="I37" i="4"/>
  <c r="H37" i="4"/>
  <c r="R37" i="4" s="1"/>
  <c r="X37" i="4" s="1"/>
  <c r="G37" i="4"/>
  <c r="Q37" i="4" s="1"/>
  <c r="W37" i="4" s="1"/>
  <c r="F37" i="4"/>
  <c r="P37" i="4" s="1"/>
  <c r="V37" i="4" s="1"/>
  <c r="E37" i="4"/>
  <c r="O37" i="4" s="1"/>
  <c r="U37" i="4" s="1"/>
  <c r="D37" i="4"/>
  <c r="N37" i="4" s="1"/>
  <c r="T37" i="4" s="1"/>
  <c r="Y37" i="4" s="1"/>
  <c r="M36" i="4"/>
  <c r="L36" i="4"/>
  <c r="K36" i="4"/>
  <c r="J36" i="4"/>
  <c r="I36" i="4"/>
  <c r="H36" i="4"/>
  <c r="R36" i="4" s="1"/>
  <c r="X36" i="4" s="1"/>
  <c r="G36" i="4"/>
  <c r="Q36" i="4" s="1"/>
  <c r="W36" i="4" s="1"/>
  <c r="F36" i="4"/>
  <c r="P36" i="4" s="1"/>
  <c r="V36" i="4" s="1"/>
  <c r="E36" i="4"/>
  <c r="O36" i="4" s="1"/>
  <c r="U36" i="4" s="1"/>
  <c r="D36" i="4"/>
  <c r="N36" i="4" s="1"/>
  <c r="T36" i="4" s="1"/>
  <c r="Y36" i="4" s="1"/>
  <c r="M35" i="4"/>
  <c r="L35" i="4"/>
  <c r="K35" i="4"/>
  <c r="J35" i="4"/>
  <c r="I35" i="4"/>
  <c r="H35" i="4"/>
  <c r="R35" i="4" s="1"/>
  <c r="X35" i="4" s="1"/>
  <c r="G35" i="4"/>
  <c r="Q35" i="4" s="1"/>
  <c r="W35" i="4" s="1"/>
  <c r="F35" i="4"/>
  <c r="P35" i="4" s="1"/>
  <c r="V35" i="4" s="1"/>
  <c r="E35" i="4"/>
  <c r="O35" i="4" s="1"/>
  <c r="U35" i="4" s="1"/>
  <c r="D35" i="4"/>
  <c r="N35" i="4" s="1"/>
  <c r="T35" i="4" s="1"/>
  <c r="Y35" i="4" s="1"/>
  <c r="M34" i="4"/>
  <c r="L34" i="4"/>
  <c r="K34" i="4"/>
  <c r="J34" i="4"/>
  <c r="I34" i="4"/>
  <c r="H34" i="4"/>
  <c r="R34" i="4" s="1"/>
  <c r="X34" i="4" s="1"/>
  <c r="G34" i="4"/>
  <c r="Q34" i="4" s="1"/>
  <c r="W34" i="4" s="1"/>
  <c r="F34" i="4"/>
  <c r="P34" i="4" s="1"/>
  <c r="V34" i="4" s="1"/>
  <c r="E34" i="4"/>
  <c r="O34" i="4" s="1"/>
  <c r="U34" i="4" s="1"/>
  <c r="D34" i="4"/>
  <c r="N34" i="4" s="1"/>
  <c r="T34" i="4" s="1"/>
  <c r="Y34" i="4" s="1"/>
  <c r="M33" i="4"/>
  <c r="L33" i="4"/>
  <c r="K33" i="4"/>
  <c r="J33" i="4"/>
  <c r="I33" i="4"/>
  <c r="H33" i="4"/>
  <c r="R33" i="4" s="1"/>
  <c r="X33" i="4" s="1"/>
  <c r="G33" i="4"/>
  <c r="Q33" i="4" s="1"/>
  <c r="W33" i="4" s="1"/>
  <c r="F33" i="4"/>
  <c r="P33" i="4" s="1"/>
  <c r="V33" i="4" s="1"/>
  <c r="E33" i="4"/>
  <c r="O33" i="4" s="1"/>
  <c r="U33" i="4" s="1"/>
  <c r="D33" i="4"/>
  <c r="N33" i="4" s="1"/>
  <c r="T33" i="4" s="1"/>
  <c r="M32" i="4"/>
  <c r="L32" i="4"/>
  <c r="K32" i="4"/>
  <c r="J32" i="4"/>
  <c r="I32" i="4"/>
  <c r="H32" i="4"/>
  <c r="R32" i="4" s="1"/>
  <c r="X32" i="4" s="1"/>
  <c r="G32" i="4"/>
  <c r="Q32" i="4" s="1"/>
  <c r="W32" i="4" s="1"/>
  <c r="F32" i="4"/>
  <c r="P32" i="4" s="1"/>
  <c r="V32" i="4" s="1"/>
  <c r="E32" i="4"/>
  <c r="O32" i="4" s="1"/>
  <c r="U32" i="4" s="1"/>
  <c r="D32" i="4"/>
  <c r="N32" i="4" s="1"/>
  <c r="T32" i="4" s="1"/>
  <c r="Y32" i="4" s="1"/>
  <c r="M31" i="4"/>
  <c r="L31" i="4"/>
  <c r="K31" i="4"/>
  <c r="J31" i="4"/>
  <c r="I31" i="4"/>
  <c r="H31" i="4"/>
  <c r="R31" i="4" s="1"/>
  <c r="X31" i="4" s="1"/>
  <c r="G31" i="4"/>
  <c r="Q31" i="4" s="1"/>
  <c r="W31" i="4" s="1"/>
  <c r="F31" i="4"/>
  <c r="P31" i="4" s="1"/>
  <c r="V31" i="4" s="1"/>
  <c r="E31" i="4"/>
  <c r="O31" i="4" s="1"/>
  <c r="U31" i="4" s="1"/>
  <c r="D31" i="4"/>
  <c r="N31" i="4" s="1"/>
  <c r="T31" i="4" s="1"/>
  <c r="Y31" i="4" s="1"/>
  <c r="M30" i="4"/>
  <c r="L30" i="4"/>
  <c r="K30" i="4"/>
  <c r="J30" i="4"/>
  <c r="I30" i="4"/>
  <c r="H30" i="4"/>
  <c r="R30" i="4" s="1"/>
  <c r="X30" i="4" s="1"/>
  <c r="G30" i="4"/>
  <c r="Q30" i="4" s="1"/>
  <c r="W30" i="4" s="1"/>
  <c r="F30" i="4"/>
  <c r="P30" i="4" s="1"/>
  <c r="V30" i="4" s="1"/>
  <c r="E30" i="4"/>
  <c r="O30" i="4" s="1"/>
  <c r="U30" i="4" s="1"/>
  <c r="D30" i="4"/>
  <c r="N30" i="4" s="1"/>
  <c r="T30" i="4" s="1"/>
  <c r="Y30" i="4" s="1"/>
  <c r="M29" i="4"/>
  <c r="L29" i="4"/>
  <c r="K29" i="4"/>
  <c r="J29" i="4"/>
  <c r="I29" i="4"/>
  <c r="H29" i="4"/>
  <c r="R29" i="4" s="1"/>
  <c r="X29" i="4" s="1"/>
  <c r="G29" i="4"/>
  <c r="Q29" i="4" s="1"/>
  <c r="W29" i="4" s="1"/>
  <c r="F29" i="4"/>
  <c r="P29" i="4" s="1"/>
  <c r="V29" i="4" s="1"/>
  <c r="E29" i="4"/>
  <c r="O29" i="4" s="1"/>
  <c r="U29" i="4" s="1"/>
  <c r="D29" i="4"/>
  <c r="N29" i="4" s="1"/>
  <c r="T29" i="4" s="1"/>
  <c r="Y29" i="4" s="1"/>
  <c r="M28" i="4"/>
  <c r="L28" i="4"/>
  <c r="K28" i="4"/>
  <c r="J28" i="4"/>
  <c r="I28" i="4"/>
  <c r="H28" i="4"/>
  <c r="R28" i="4" s="1"/>
  <c r="X28" i="4" s="1"/>
  <c r="G28" i="4"/>
  <c r="Q28" i="4" s="1"/>
  <c r="W28" i="4" s="1"/>
  <c r="F28" i="4"/>
  <c r="P28" i="4" s="1"/>
  <c r="V28" i="4" s="1"/>
  <c r="E28" i="4"/>
  <c r="O28" i="4" s="1"/>
  <c r="U28" i="4" s="1"/>
  <c r="D28" i="4"/>
  <c r="N28" i="4" s="1"/>
  <c r="T28" i="4" s="1"/>
  <c r="Y28" i="4" s="1"/>
  <c r="M27" i="4"/>
  <c r="L27" i="4"/>
  <c r="K27" i="4"/>
  <c r="J27" i="4"/>
  <c r="I27" i="4"/>
  <c r="H27" i="4"/>
  <c r="R27" i="4" s="1"/>
  <c r="X27" i="4" s="1"/>
  <c r="G27" i="4"/>
  <c r="Q27" i="4" s="1"/>
  <c r="W27" i="4" s="1"/>
  <c r="F27" i="4"/>
  <c r="P27" i="4" s="1"/>
  <c r="V27" i="4" s="1"/>
  <c r="E27" i="4"/>
  <c r="O27" i="4" s="1"/>
  <c r="U27" i="4" s="1"/>
  <c r="D27" i="4"/>
  <c r="N27" i="4" s="1"/>
  <c r="T27" i="4" s="1"/>
  <c r="M26" i="4"/>
  <c r="L26" i="4"/>
  <c r="K26" i="4"/>
  <c r="J26" i="4"/>
  <c r="I26" i="4"/>
  <c r="H26" i="4"/>
  <c r="R26" i="4" s="1"/>
  <c r="X26" i="4" s="1"/>
  <c r="G26" i="4"/>
  <c r="Q26" i="4" s="1"/>
  <c r="W26" i="4" s="1"/>
  <c r="F26" i="4"/>
  <c r="P26" i="4" s="1"/>
  <c r="V26" i="4" s="1"/>
  <c r="E26" i="4"/>
  <c r="O26" i="4" s="1"/>
  <c r="U26" i="4" s="1"/>
  <c r="D26" i="4"/>
  <c r="N26" i="4" s="1"/>
  <c r="T26" i="4" s="1"/>
  <c r="Y26" i="4" s="1"/>
  <c r="M25" i="4"/>
  <c r="L25" i="4"/>
  <c r="K25" i="4"/>
  <c r="J25" i="4"/>
  <c r="I25" i="4"/>
  <c r="H25" i="4"/>
  <c r="R25" i="4" s="1"/>
  <c r="X25" i="4" s="1"/>
  <c r="G25" i="4"/>
  <c r="Q25" i="4" s="1"/>
  <c r="W25" i="4" s="1"/>
  <c r="F25" i="4"/>
  <c r="P25" i="4" s="1"/>
  <c r="V25" i="4" s="1"/>
  <c r="E25" i="4"/>
  <c r="O25" i="4" s="1"/>
  <c r="U25" i="4" s="1"/>
  <c r="D25" i="4"/>
  <c r="N25" i="4" s="1"/>
  <c r="T25" i="4" s="1"/>
  <c r="Y25" i="4" s="1"/>
  <c r="M24" i="4"/>
  <c r="L24" i="4"/>
  <c r="K24" i="4"/>
  <c r="J24" i="4"/>
  <c r="I24" i="4"/>
  <c r="H24" i="4"/>
  <c r="R24" i="4" s="1"/>
  <c r="X24" i="4" s="1"/>
  <c r="G24" i="4"/>
  <c r="Q24" i="4" s="1"/>
  <c r="W24" i="4" s="1"/>
  <c r="F24" i="4"/>
  <c r="P24" i="4" s="1"/>
  <c r="V24" i="4" s="1"/>
  <c r="E24" i="4"/>
  <c r="O24" i="4" s="1"/>
  <c r="U24" i="4" s="1"/>
  <c r="D24" i="4"/>
  <c r="N24" i="4" s="1"/>
  <c r="T24" i="4" s="1"/>
  <c r="M23" i="4"/>
  <c r="L23" i="4"/>
  <c r="K23" i="4"/>
  <c r="J23" i="4"/>
  <c r="I23" i="4"/>
  <c r="H23" i="4"/>
  <c r="R23" i="4" s="1"/>
  <c r="X23" i="4" s="1"/>
  <c r="G23" i="4"/>
  <c r="Q23" i="4" s="1"/>
  <c r="W23" i="4" s="1"/>
  <c r="F23" i="4"/>
  <c r="P23" i="4" s="1"/>
  <c r="V23" i="4" s="1"/>
  <c r="E23" i="4"/>
  <c r="O23" i="4" s="1"/>
  <c r="U23" i="4" s="1"/>
  <c r="D23" i="4"/>
  <c r="N23" i="4" s="1"/>
  <c r="T23" i="4" s="1"/>
  <c r="Y23" i="4" s="1"/>
  <c r="M22" i="4"/>
  <c r="L22" i="4"/>
  <c r="K22" i="4"/>
  <c r="J22" i="4"/>
  <c r="I22" i="4"/>
  <c r="H22" i="4"/>
  <c r="R22" i="4" s="1"/>
  <c r="X22" i="4" s="1"/>
  <c r="G22" i="4"/>
  <c r="Q22" i="4" s="1"/>
  <c r="W22" i="4" s="1"/>
  <c r="F22" i="4"/>
  <c r="P22" i="4" s="1"/>
  <c r="V22" i="4" s="1"/>
  <c r="E22" i="4"/>
  <c r="O22" i="4" s="1"/>
  <c r="U22" i="4" s="1"/>
  <c r="D22" i="4"/>
  <c r="N22" i="4" s="1"/>
  <c r="T22" i="4" s="1"/>
  <c r="M21" i="4"/>
  <c r="L21" i="4"/>
  <c r="K21" i="4"/>
  <c r="J21" i="4"/>
  <c r="I21" i="4"/>
  <c r="H21" i="4"/>
  <c r="R21" i="4" s="1"/>
  <c r="X21" i="4" s="1"/>
  <c r="G21" i="4"/>
  <c r="Q21" i="4" s="1"/>
  <c r="W21" i="4" s="1"/>
  <c r="F21" i="4"/>
  <c r="P21" i="4" s="1"/>
  <c r="V21" i="4" s="1"/>
  <c r="E21" i="4"/>
  <c r="O21" i="4" s="1"/>
  <c r="U21" i="4" s="1"/>
  <c r="D21" i="4"/>
  <c r="N21" i="4" s="1"/>
  <c r="T21" i="4" s="1"/>
  <c r="M20" i="4"/>
  <c r="L20" i="4"/>
  <c r="K20" i="4"/>
  <c r="J20" i="4"/>
  <c r="I20" i="4"/>
  <c r="H20" i="4"/>
  <c r="R20" i="4" s="1"/>
  <c r="X20" i="4" s="1"/>
  <c r="G20" i="4"/>
  <c r="Q20" i="4" s="1"/>
  <c r="W20" i="4" s="1"/>
  <c r="F20" i="4"/>
  <c r="P20" i="4" s="1"/>
  <c r="V20" i="4" s="1"/>
  <c r="E20" i="4"/>
  <c r="O20" i="4" s="1"/>
  <c r="U20" i="4" s="1"/>
  <c r="D20" i="4"/>
  <c r="N20" i="4" s="1"/>
  <c r="T20" i="4" s="1"/>
  <c r="Y20" i="4" s="1"/>
  <c r="R66" i="4"/>
  <c r="X66" i="4" s="1"/>
  <c r="Q66" i="4"/>
  <c r="W66" i="4" s="1"/>
  <c r="P66" i="4"/>
  <c r="V66" i="4" s="1"/>
  <c r="O66" i="4"/>
  <c r="U66" i="4" s="1"/>
  <c r="N66" i="4"/>
  <c r="T66" i="4" s="1"/>
  <c r="Y66" i="4" s="1"/>
  <c r="R65" i="4"/>
  <c r="X65" i="4" s="1"/>
  <c r="Q65" i="4"/>
  <c r="W65" i="4" s="1"/>
  <c r="P65" i="4"/>
  <c r="V65" i="4" s="1"/>
  <c r="O65" i="4"/>
  <c r="U65" i="4" s="1"/>
  <c r="N65" i="4"/>
  <c r="T65" i="4" s="1"/>
  <c r="Y65" i="4" s="1"/>
  <c r="R64" i="4"/>
  <c r="X64" i="4" s="1"/>
  <c r="Q64" i="4"/>
  <c r="W64" i="4" s="1"/>
  <c r="P64" i="4"/>
  <c r="V64" i="4" s="1"/>
  <c r="N64" i="4"/>
  <c r="T64" i="4" s="1"/>
  <c r="R63" i="4"/>
  <c r="X63" i="4" s="1"/>
  <c r="Q63" i="4"/>
  <c r="W63" i="4" s="1"/>
  <c r="P63" i="4"/>
  <c r="V63" i="4" s="1"/>
  <c r="O63" i="4"/>
  <c r="U63" i="4" s="1"/>
  <c r="N63" i="4"/>
  <c r="T63" i="4" s="1"/>
  <c r="Y63" i="4" s="1"/>
  <c r="R62" i="4"/>
  <c r="X62" i="4" s="1"/>
  <c r="Q62" i="4"/>
  <c r="W62" i="4" s="1"/>
  <c r="P62" i="4"/>
  <c r="V62" i="4" s="1"/>
  <c r="O62" i="4"/>
  <c r="U62" i="4" s="1"/>
  <c r="N62" i="4"/>
  <c r="T62" i="4" s="1"/>
  <c r="Y62" i="4" s="1"/>
  <c r="R61" i="4"/>
  <c r="X61" i="4" s="1"/>
  <c r="Q61" i="4"/>
  <c r="W61" i="4" s="1"/>
  <c r="P61" i="4"/>
  <c r="V61" i="4" s="1"/>
  <c r="O61" i="4"/>
  <c r="U61" i="4" s="1"/>
  <c r="N61" i="4"/>
  <c r="T61" i="4" s="1"/>
  <c r="Y61" i="4" s="1"/>
  <c r="Q60" i="4"/>
  <c r="W60" i="4" s="1"/>
  <c r="P60" i="4"/>
  <c r="V60" i="4" s="1"/>
  <c r="O60" i="4"/>
  <c r="U60" i="4" s="1"/>
  <c r="N60" i="4"/>
  <c r="T60" i="4" s="1"/>
  <c r="S19" i="3"/>
  <c r="AA19" i="3" s="1"/>
  <c r="R19" i="3"/>
  <c r="Z19" i="3" s="1"/>
  <c r="Q19" i="3"/>
  <c r="Y19" i="3" s="1"/>
  <c r="P19" i="3"/>
  <c r="O19" i="3"/>
  <c r="X19" i="3" s="1"/>
  <c r="N19" i="3"/>
  <c r="W19" i="3" s="1"/>
  <c r="M19" i="3"/>
  <c r="V19" i="3" s="1"/>
  <c r="AB19" i="3" s="1"/>
  <c r="S18" i="3"/>
  <c r="AA18" i="3" s="1"/>
  <c r="R18" i="3"/>
  <c r="Z18" i="3" s="1"/>
  <c r="Q18" i="3"/>
  <c r="Y18" i="3" s="1"/>
  <c r="P18" i="3"/>
  <c r="O18" i="3"/>
  <c r="X18" i="3" s="1"/>
  <c r="N18" i="3"/>
  <c r="W18" i="3" s="1"/>
  <c r="AB18" i="3" s="1"/>
  <c r="O17" i="3"/>
  <c r="X17" i="3" s="1"/>
  <c r="L17" i="3"/>
  <c r="U17" i="3" s="1"/>
  <c r="P16" i="3"/>
  <c r="N16" i="3"/>
  <c r="W16" i="3" s="1"/>
  <c r="L16" i="3"/>
  <c r="U16" i="3" s="1"/>
  <c r="P15" i="3"/>
  <c r="N15" i="3"/>
  <c r="W15" i="3" s="1"/>
  <c r="L14" i="3"/>
  <c r="U14" i="3" s="1"/>
  <c r="S7" i="3"/>
  <c r="AA7" i="3" s="1"/>
  <c r="R7" i="3"/>
  <c r="Z7" i="3" s="1"/>
  <c r="Q7" i="3"/>
  <c r="Y7" i="3" s="1"/>
  <c r="O7" i="3"/>
  <c r="X7" i="3" s="1"/>
  <c r="M7" i="3"/>
  <c r="V7" i="3" s="1"/>
  <c r="S6" i="3"/>
  <c r="AA6" i="3" s="1"/>
  <c r="R6" i="3"/>
  <c r="Z6" i="3" s="1"/>
  <c r="Q6" i="3"/>
  <c r="Y6" i="3" s="1"/>
  <c r="P6" i="3"/>
  <c r="O6" i="3"/>
  <c r="X6" i="3" s="1"/>
  <c r="M6" i="3"/>
  <c r="V6" i="3" s="1"/>
  <c r="M5" i="3"/>
  <c r="V5" i="3" s="1"/>
  <c r="O4" i="3"/>
  <c r="X4" i="3" s="1"/>
  <c r="L4" i="3"/>
  <c r="U4" i="3" s="1"/>
  <c r="L6" i="3"/>
  <c r="U6" i="3" s="1"/>
  <c r="L5" i="3"/>
  <c r="U5" i="3" s="1"/>
  <c r="P20" i="3"/>
  <c r="N20" i="3"/>
  <c r="W20" i="3" s="1"/>
  <c r="L20" i="3"/>
  <c r="U20" i="3" s="1"/>
  <c r="S17" i="3"/>
  <c r="AA17" i="3" s="1"/>
  <c r="R17" i="3"/>
  <c r="Z17" i="3" s="1"/>
  <c r="Q17" i="3"/>
  <c r="Y17" i="3" s="1"/>
  <c r="P17" i="3"/>
  <c r="N17" i="3"/>
  <c r="W17" i="3" s="1"/>
  <c r="S16" i="3"/>
  <c r="AA16" i="3" s="1"/>
  <c r="R16" i="3"/>
  <c r="Z16" i="3" s="1"/>
  <c r="Q16" i="3"/>
  <c r="Y16" i="3" s="1"/>
  <c r="O16" i="3"/>
  <c r="X16" i="3" s="1"/>
  <c r="M16" i="3"/>
  <c r="V16" i="3" s="1"/>
  <c r="L15" i="3"/>
  <c r="U15" i="3" s="1"/>
  <c r="M14" i="3"/>
  <c r="V14" i="3" s="1"/>
  <c r="S13" i="3"/>
  <c r="AA13" i="3" s="1"/>
  <c r="R13" i="3"/>
  <c r="Z13" i="3" s="1"/>
  <c r="Q13" i="3"/>
  <c r="Y13" i="3" s="1"/>
  <c r="N4" i="3"/>
  <c r="W4" i="3" s="1"/>
  <c r="R20" i="3"/>
  <c r="Z20" i="3" s="1"/>
  <c r="M24" i="3"/>
  <c r="V24" i="3" s="1"/>
  <c r="L24" i="3"/>
  <c r="S23" i="3"/>
  <c r="AA23" i="3" s="1"/>
  <c r="R23" i="3"/>
  <c r="Z23" i="3" s="1"/>
  <c r="P13" i="3"/>
  <c r="O13" i="3"/>
  <c r="X13" i="3" s="1"/>
  <c r="Q23" i="3"/>
  <c r="Y23" i="3" s="1"/>
  <c r="N13" i="3"/>
  <c r="W13" i="3" s="1"/>
  <c r="M13" i="3"/>
  <c r="V13" i="3" s="1"/>
  <c r="L13" i="3"/>
  <c r="U13" i="3" s="1"/>
  <c r="AB13" i="3" s="1"/>
  <c r="S12" i="3"/>
  <c r="AA12" i="3" s="1"/>
  <c r="R12" i="3"/>
  <c r="Z12" i="3" s="1"/>
  <c r="Q12" i="3"/>
  <c r="Y12" i="3" s="1"/>
  <c r="P12" i="3"/>
  <c r="O12" i="3"/>
  <c r="X12" i="3" s="1"/>
  <c r="N12" i="3"/>
  <c r="W12" i="3" s="1"/>
  <c r="M12" i="3"/>
  <c r="V12" i="3" s="1"/>
  <c r="L12" i="3"/>
  <c r="U12" i="3" s="1"/>
  <c r="AB12" i="3" s="1"/>
  <c r="S11" i="3"/>
  <c r="AA11" i="3" s="1"/>
  <c r="R11" i="3"/>
  <c r="Z11" i="3" s="1"/>
  <c r="Q11" i="3"/>
  <c r="Y11" i="3" s="1"/>
  <c r="P11" i="3"/>
  <c r="O11" i="3"/>
  <c r="X11" i="3" s="1"/>
  <c r="N11" i="3"/>
  <c r="W11" i="3" s="1"/>
  <c r="M11" i="3"/>
  <c r="V11" i="3" s="1"/>
  <c r="L11" i="3"/>
  <c r="U11" i="3" s="1"/>
  <c r="AB11" i="3" s="1"/>
  <c r="N10" i="3"/>
  <c r="W10" i="3" s="1"/>
  <c r="L10" i="3"/>
  <c r="U10" i="3" s="1"/>
  <c r="S9" i="3"/>
  <c r="AA9" i="3" s="1"/>
  <c r="R9" i="3"/>
  <c r="Z9" i="3" s="1"/>
  <c r="P9" i="3"/>
  <c r="S24" i="3"/>
  <c r="AA24" i="3" s="1"/>
  <c r="R24" i="3"/>
  <c r="Z24" i="3" s="1"/>
  <c r="Q24" i="3"/>
  <c r="Y24" i="3" s="1"/>
  <c r="P24" i="3"/>
  <c r="O24" i="3"/>
  <c r="X24" i="3" s="1"/>
  <c r="O23" i="3"/>
  <c r="X23" i="3" s="1"/>
  <c r="M23" i="3"/>
  <c r="V23" i="3" s="1"/>
  <c r="P22" i="3"/>
  <c r="N22" i="3"/>
  <c r="W22" i="3" s="1"/>
  <c r="L22" i="3"/>
  <c r="U22" i="3" s="1"/>
  <c r="M4" i="3"/>
  <c r="V4" i="3" s="1"/>
  <c r="P4" i="3"/>
  <c r="Q4" i="3"/>
  <c r="Y4" i="3" s="1"/>
  <c r="R4" i="3"/>
  <c r="Z4" i="3" s="1"/>
  <c r="S4" i="3"/>
  <c r="AA4" i="3" s="1"/>
  <c r="N5" i="3"/>
  <c r="W5" i="3" s="1"/>
  <c r="O5" i="3"/>
  <c r="X5" i="3" s="1"/>
  <c r="P5" i="3"/>
  <c r="Q5" i="3"/>
  <c r="Y5" i="3" s="1"/>
  <c r="R5" i="3"/>
  <c r="Z5" i="3" s="1"/>
  <c r="S5" i="3"/>
  <c r="AA5" i="3" s="1"/>
  <c r="L8" i="3"/>
  <c r="U8" i="3" s="1"/>
  <c r="N8" i="3"/>
  <c r="W8" i="3" s="1"/>
  <c r="M9" i="3"/>
  <c r="V9" i="3" s="1"/>
  <c r="O9" i="3"/>
  <c r="X9" i="3" s="1"/>
  <c r="Q9" i="3"/>
  <c r="Y9" i="3" s="1"/>
  <c r="M10" i="3"/>
  <c r="V10" i="3" s="1"/>
  <c r="O10" i="3"/>
  <c r="X10" i="3" s="1"/>
  <c r="P10" i="3"/>
  <c r="Q10" i="3"/>
  <c r="Y10" i="3" s="1"/>
  <c r="R10" i="3"/>
  <c r="Z10" i="3" s="1"/>
  <c r="S10" i="3"/>
  <c r="AA10" i="3" s="1"/>
  <c r="N14" i="3"/>
  <c r="W14" i="3" s="1"/>
  <c r="O14" i="3"/>
  <c r="X14" i="3" s="1"/>
  <c r="P14" i="3"/>
  <c r="Q14" i="3"/>
  <c r="Y14" i="3" s="1"/>
  <c r="R14" i="3"/>
  <c r="Z14" i="3" s="1"/>
  <c r="S14" i="3"/>
  <c r="AA14" i="3" s="1"/>
  <c r="M15" i="3"/>
  <c r="V15" i="3" s="1"/>
  <c r="O15" i="3"/>
  <c r="X15" i="3" s="1"/>
  <c r="Q15" i="3"/>
  <c r="Y15" i="3" s="1"/>
  <c r="R15" i="3"/>
  <c r="Z15" i="3" s="1"/>
  <c r="N9" i="3"/>
  <c r="W9" i="3" s="1"/>
  <c r="S15" i="3"/>
  <c r="AA15" i="3" s="1"/>
  <c r="M17" i="3"/>
  <c r="V17" i="3" s="1"/>
  <c r="M20" i="3"/>
  <c r="V20" i="3" s="1"/>
  <c r="O20" i="3"/>
  <c r="X20" i="3" s="1"/>
  <c r="Q20" i="3"/>
  <c r="Y20" i="3" s="1"/>
  <c r="S20" i="3"/>
  <c r="AA20" i="3" s="1"/>
  <c r="M22" i="3"/>
  <c r="V22" i="3" s="1"/>
  <c r="O22" i="3"/>
  <c r="X22" i="3" s="1"/>
  <c r="Q22" i="3"/>
  <c r="Y22" i="3" s="1"/>
  <c r="R22" i="3"/>
  <c r="Z22" i="3" s="1"/>
  <c r="S22" i="3"/>
  <c r="AA22" i="3" s="1"/>
  <c r="L23" i="3"/>
  <c r="U23" i="3" s="1"/>
  <c r="N23" i="3"/>
  <c r="W23" i="3" s="1"/>
  <c r="P23" i="3"/>
  <c r="N24" i="3"/>
  <c r="W24" i="3" s="1"/>
  <c r="L9" i="3"/>
  <c r="U9" i="3" s="1"/>
  <c r="AB9" i="3" s="1"/>
  <c r="S8" i="3"/>
  <c r="AA8" i="3" s="1"/>
  <c r="R8" i="3"/>
  <c r="Z8" i="3" s="1"/>
  <c r="Q8" i="3"/>
  <c r="Y8" i="3" s="1"/>
  <c r="P8" i="3"/>
  <c r="O8" i="3"/>
  <c r="X8" i="3" s="1"/>
  <c r="M8" i="3"/>
  <c r="V8" i="3" s="1"/>
  <c r="P7" i="3"/>
  <c r="N7" i="3"/>
  <c r="W7" i="3" s="1"/>
  <c r="L7" i="3"/>
  <c r="U7" i="3" s="1"/>
  <c r="AB7" i="3" s="1"/>
  <c r="N6" i="3"/>
  <c r="W6" i="3" s="1"/>
  <c r="L55" i="1"/>
  <c r="T55" i="1" s="1"/>
  <c r="K55" i="1"/>
  <c r="S55" i="1" s="1"/>
  <c r="Q54" i="1"/>
  <c r="Y54" i="1" s="1"/>
  <c r="P54" i="1"/>
  <c r="X54" i="1" s="1"/>
  <c r="O54" i="1"/>
  <c r="W54" i="1" s="1"/>
  <c r="N54" i="1"/>
  <c r="V54" i="1" s="1"/>
  <c r="M54" i="1"/>
  <c r="U54" i="1" s="1"/>
  <c r="L54" i="1"/>
  <c r="T54" i="1" s="1"/>
  <c r="K54" i="1"/>
  <c r="S54" i="1" s="1"/>
  <c r="Z54" i="1" s="1"/>
  <c r="Q53" i="1"/>
  <c r="Y53" i="1" s="1"/>
  <c r="P53" i="1"/>
  <c r="X53" i="1" s="1"/>
  <c r="O53" i="1"/>
  <c r="W53" i="1" s="1"/>
  <c r="N53" i="1"/>
  <c r="V53" i="1" s="1"/>
  <c r="M53" i="1"/>
  <c r="U53" i="1" s="1"/>
  <c r="L53" i="1"/>
  <c r="T53" i="1" s="1"/>
  <c r="K53" i="1"/>
  <c r="S53" i="1" s="1"/>
  <c r="Z53" i="1" s="1"/>
  <c r="Q52" i="1"/>
  <c r="Y52" i="1" s="1"/>
  <c r="P52" i="1"/>
  <c r="X52" i="1" s="1"/>
  <c r="O52" i="1"/>
  <c r="W52" i="1" s="1"/>
  <c r="N52" i="1"/>
  <c r="V52" i="1" s="1"/>
  <c r="M52" i="1"/>
  <c r="U52" i="1" s="1"/>
  <c r="L52" i="1"/>
  <c r="T52" i="1" s="1"/>
  <c r="K52" i="1"/>
  <c r="S52" i="1" s="1"/>
  <c r="Q51" i="1"/>
  <c r="Y51" i="1" s="1"/>
  <c r="P51" i="1"/>
  <c r="X51" i="1" s="1"/>
  <c r="O51" i="1"/>
  <c r="W51" i="1" s="1"/>
  <c r="N51" i="1"/>
  <c r="V51" i="1" s="1"/>
  <c r="M51" i="1"/>
  <c r="U51" i="1" s="1"/>
  <c r="L51" i="1"/>
  <c r="T51" i="1" s="1"/>
  <c r="K51" i="1"/>
  <c r="S51" i="1" s="1"/>
  <c r="Z51" i="1" s="1"/>
  <c r="Q50" i="1"/>
  <c r="Y50" i="1" s="1"/>
  <c r="P50" i="1"/>
  <c r="X50" i="1" s="1"/>
  <c r="O50" i="1"/>
  <c r="W50" i="1" s="1"/>
  <c r="N50" i="1"/>
  <c r="V50" i="1" s="1"/>
  <c r="M50" i="1"/>
  <c r="U50" i="1" s="1"/>
  <c r="L50" i="1"/>
  <c r="T50" i="1" s="1"/>
  <c r="K50" i="1"/>
  <c r="S50" i="1" s="1"/>
  <c r="Z50" i="1" s="1"/>
  <c r="Q49" i="1"/>
  <c r="Y49" i="1" s="1"/>
  <c r="P49" i="1"/>
  <c r="X49" i="1" s="1"/>
  <c r="O49" i="1"/>
  <c r="W49" i="1" s="1"/>
  <c r="N49" i="1"/>
  <c r="V49" i="1" s="1"/>
  <c r="M49" i="1"/>
  <c r="U49" i="1" s="1"/>
  <c r="L49" i="1"/>
  <c r="T49" i="1" s="1"/>
  <c r="K49" i="1"/>
  <c r="S49" i="1" s="1"/>
  <c r="Z49" i="1" s="1"/>
  <c r="Q48" i="1"/>
  <c r="Y48" i="1" s="1"/>
  <c r="P48" i="1"/>
  <c r="X48" i="1" s="1"/>
  <c r="O48" i="1"/>
  <c r="W48" i="1" s="1"/>
  <c r="N48" i="1"/>
  <c r="V48" i="1" s="1"/>
  <c r="M48" i="1"/>
  <c r="U48" i="1" s="1"/>
  <c r="L48" i="1"/>
  <c r="T48" i="1" s="1"/>
  <c r="K48" i="1"/>
  <c r="S48" i="1" s="1"/>
  <c r="Z48" i="1" s="1"/>
  <c r="Q47" i="1"/>
  <c r="Y47" i="1" s="1"/>
  <c r="P47" i="1"/>
  <c r="X47" i="1" s="1"/>
  <c r="O47" i="1"/>
  <c r="W47" i="1" s="1"/>
  <c r="N47" i="1"/>
  <c r="V47" i="1" s="1"/>
  <c r="M47" i="1"/>
  <c r="U47" i="1" s="1"/>
  <c r="L47" i="1"/>
  <c r="T47" i="1" s="1"/>
  <c r="K47" i="1"/>
  <c r="S47" i="1" s="1"/>
  <c r="Q46" i="1"/>
  <c r="Y46" i="1" s="1"/>
  <c r="P46" i="1"/>
  <c r="X46" i="1" s="1"/>
  <c r="O46" i="1"/>
  <c r="W46" i="1" s="1"/>
  <c r="N46" i="1"/>
  <c r="V46" i="1" s="1"/>
  <c r="M46" i="1"/>
  <c r="U46" i="1" s="1"/>
  <c r="L46" i="1"/>
  <c r="T46" i="1" s="1"/>
  <c r="K46" i="1"/>
  <c r="S46" i="1" s="1"/>
  <c r="Z46" i="1" s="1"/>
  <c r="Q45" i="1"/>
  <c r="Y45" i="1" s="1"/>
  <c r="P45" i="1"/>
  <c r="X45" i="1" s="1"/>
  <c r="O45" i="1"/>
  <c r="W45" i="1" s="1"/>
  <c r="N45" i="1"/>
  <c r="V45" i="1" s="1"/>
  <c r="M45" i="1"/>
  <c r="U45" i="1" s="1"/>
  <c r="L45" i="1"/>
  <c r="T45" i="1" s="1"/>
  <c r="K45" i="1"/>
  <c r="S45" i="1" s="1"/>
  <c r="Z45" i="1" s="1"/>
  <c r="Q44" i="1"/>
  <c r="Y44" i="1" s="1"/>
  <c r="P44" i="1"/>
  <c r="X44" i="1" s="1"/>
  <c r="O44" i="1"/>
  <c r="W44" i="1" s="1"/>
  <c r="N44" i="1"/>
  <c r="V44" i="1" s="1"/>
  <c r="M44" i="1"/>
  <c r="U44" i="1" s="1"/>
  <c r="L44" i="1"/>
  <c r="T44" i="1" s="1"/>
  <c r="K44" i="1"/>
  <c r="S44" i="1" s="1"/>
  <c r="Z44" i="1" s="1"/>
  <c r="Q43" i="1"/>
  <c r="P43" i="1"/>
  <c r="L43" i="1"/>
  <c r="K43" i="1"/>
  <c r="Q42" i="1"/>
  <c r="Y42" i="1" s="1"/>
  <c r="P42" i="1"/>
  <c r="X42" i="1" s="1"/>
  <c r="L42" i="1"/>
  <c r="T42" i="1" s="1"/>
  <c r="K42" i="1"/>
  <c r="S42" i="1" s="1"/>
  <c r="Q41" i="1"/>
  <c r="Y41" i="1" s="1"/>
  <c r="P41" i="1"/>
  <c r="X41" i="1" s="1"/>
  <c r="O41" i="1"/>
  <c r="W41" i="1" s="1"/>
  <c r="N41" i="1"/>
  <c r="V41" i="1" s="1"/>
  <c r="M41" i="1"/>
  <c r="U41" i="1" s="1"/>
  <c r="L41" i="1"/>
  <c r="T41" i="1" s="1"/>
  <c r="K41" i="1"/>
  <c r="S41" i="1" s="1"/>
  <c r="Z41" i="1" s="1"/>
  <c r="Q40" i="1"/>
  <c r="Y40" i="1" s="1"/>
  <c r="P40" i="1"/>
  <c r="X40" i="1" s="1"/>
  <c r="O40" i="1"/>
  <c r="W40" i="1" s="1"/>
  <c r="N40" i="1"/>
  <c r="V40" i="1" s="1"/>
  <c r="M40" i="1"/>
  <c r="U40" i="1" s="1"/>
  <c r="L40" i="1"/>
  <c r="T40" i="1" s="1"/>
  <c r="K40" i="1"/>
  <c r="S40" i="1" s="1"/>
  <c r="Z40" i="1" s="1"/>
  <c r="M14" i="1"/>
  <c r="U14" i="1" s="1"/>
  <c r="L14" i="1"/>
  <c r="T14" i="1" s="1"/>
  <c r="P12" i="1"/>
  <c r="X12" i="1" s="1"/>
  <c r="N12" i="1"/>
  <c r="L12" i="1"/>
  <c r="T12" i="1" s="1"/>
  <c r="Q11" i="1"/>
  <c r="Y11" i="1" s="1"/>
  <c r="O11" i="1"/>
  <c r="N11" i="1"/>
  <c r="L11" i="1"/>
  <c r="T11" i="1" s="1"/>
  <c r="Q10" i="1"/>
  <c r="Y10" i="1" s="1"/>
  <c r="O10" i="1"/>
  <c r="N10" i="1"/>
  <c r="L10" i="1"/>
  <c r="T10" i="1" s="1"/>
  <c r="P9" i="1"/>
  <c r="X9" i="1" s="1"/>
  <c r="M9" i="1"/>
  <c r="U9" i="1" s="1"/>
  <c r="K9" i="1"/>
  <c r="S9" i="1" s="1"/>
  <c r="P8" i="1"/>
  <c r="X8" i="1" s="1"/>
  <c r="N8" i="1"/>
  <c r="L8" i="1"/>
  <c r="T8" i="1" s="1"/>
  <c r="Q7" i="1"/>
  <c r="Y7" i="1" s="1"/>
  <c r="O7" i="1"/>
  <c r="N7" i="1"/>
  <c r="L7" i="1"/>
  <c r="T7" i="1" s="1"/>
  <c r="Q6" i="1"/>
  <c r="Y6" i="1" s="1"/>
  <c r="P6" i="1"/>
  <c r="X6" i="1" s="1"/>
  <c r="N6" i="1"/>
  <c r="L6" i="1"/>
  <c r="T6" i="1" s="1"/>
  <c r="O5" i="1"/>
  <c r="M5" i="1"/>
  <c r="U5" i="1" s="1"/>
  <c r="K5" i="1"/>
  <c r="S5" i="1" s="1"/>
  <c r="P4" i="1"/>
  <c r="X4" i="1" s="1"/>
  <c r="N4" i="1"/>
  <c r="K4" i="1"/>
  <c r="S4" i="1" s="1"/>
  <c r="P78" i="1"/>
  <c r="X78" i="1" s="1"/>
  <c r="O78" i="1"/>
  <c r="W78" i="1" s="1"/>
  <c r="N78" i="1"/>
  <c r="V78" i="1" s="1"/>
  <c r="M78" i="1"/>
  <c r="U78" i="1" s="1"/>
  <c r="L78" i="1"/>
  <c r="T78" i="1" s="1"/>
  <c r="K78" i="1"/>
  <c r="S78" i="1" s="1"/>
  <c r="Q77" i="1"/>
  <c r="Y77" i="1" s="1"/>
  <c r="P77" i="1"/>
  <c r="X77" i="1" s="1"/>
  <c r="O77" i="1"/>
  <c r="W77" i="1" s="1"/>
  <c r="N77" i="1"/>
  <c r="V77" i="1" s="1"/>
  <c r="M77" i="1"/>
  <c r="U77" i="1" s="1"/>
  <c r="L77" i="1"/>
  <c r="T77" i="1" s="1"/>
  <c r="K77" i="1"/>
  <c r="S77" i="1" s="1"/>
  <c r="Z77" i="1" s="1"/>
  <c r="Q76" i="1"/>
  <c r="Y76" i="1" s="1"/>
  <c r="P76" i="1"/>
  <c r="X76" i="1" s="1"/>
  <c r="O76" i="1"/>
  <c r="W76" i="1" s="1"/>
  <c r="N76" i="1"/>
  <c r="V76" i="1" s="1"/>
  <c r="M76" i="1"/>
  <c r="U76" i="1" s="1"/>
  <c r="L76" i="1"/>
  <c r="T76" i="1" s="1"/>
  <c r="K76" i="1"/>
  <c r="S76" i="1" s="1"/>
  <c r="Q75" i="1"/>
  <c r="Y75" i="1" s="1"/>
  <c r="P75" i="1"/>
  <c r="X75" i="1" s="1"/>
  <c r="O75" i="1"/>
  <c r="W75" i="1" s="1"/>
  <c r="N75" i="1"/>
  <c r="V75" i="1" s="1"/>
  <c r="M75" i="1"/>
  <c r="U75" i="1" s="1"/>
  <c r="L75" i="1"/>
  <c r="T75" i="1" s="1"/>
  <c r="K75" i="1"/>
  <c r="S75" i="1" s="1"/>
  <c r="Z75" i="1" s="1"/>
  <c r="Q74" i="1"/>
  <c r="Y74" i="1" s="1"/>
  <c r="P74" i="1"/>
  <c r="X74" i="1" s="1"/>
  <c r="O74" i="1"/>
  <c r="W74" i="1" s="1"/>
  <c r="N74" i="1"/>
  <c r="V74" i="1" s="1"/>
  <c r="M74" i="1"/>
  <c r="U74" i="1" s="1"/>
  <c r="L74" i="1"/>
  <c r="T74" i="1" s="1"/>
  <c r="K74" i="1"/>
  <c r="S74" i="1" s="1"/>
  <c r="Z74" i="1" s="1"/>
  <c r="Q73" i="1"/>
  <c r="Y73" i="1" s="1"/>
  <c r="P73" i="1"/>
  <c r="X73" i="1" s="1"/>
  <c r="O73" i="1"/>
  <c r="W73" i="1" s="1"/>
  <c r="N73" i="1"/>
  <c r="V73" i="1" s="1"/>
  <c r="M73" i="1"/>
  <c r="U73" i="1" s="1"/>
  <c r="L73" i="1"/>
  <c r="T73" i="1" s="1"/>
  <c r="K73" i="1"/>
  <c r="S73" i="1" s="1"/>
  <c r="Z73" i="1" s="1"/>
  <c r="Q72" i="1"/>
  <c r="Y72" i="1" s="1"/>
  <c r="P72" i="1"/>
  <c r="X72" i="1" s="1"/>
  <c r="O72" i="1"/>
  <c r="W72" i="1" s="1"/>
  <c r="N72" i="1"/>
  <c r="V72" i="1" s="1"/>
  <c r="M72" i="1"/>
  <c r="U72" i="1" s="1"/>
  <c r="L72" i="1"/>
  <c r="T72" i="1" s="1"/>
  <c r="K72" i="1"/>
  <c r="S72" i="1" s="1"/>
  <c r="Z72" i="1" s="1"/>
  <c r="Q71" i="1"/>
  <c r="Y71" i="1" s="1"/>
  <c r="P71" i="1"/>
  <c r="X71" i="1" s="1"/>
  <c r="O71" i="1"/>
  <c r="W71" i="1" s="1"/>
  <c r="N71" i="1"/>
  <c r="V71" i="1" s="1"/>
  <c r="M71" i="1"/>
  <c r="U71" i="1" s="1"/>
  <c r="L71" i="1"/>
  <c r="T71" i="1" s="1"/>
  <c r="K71" i="1"/>
  <c r="S71" i="1" s="1"/>
  <c r="Z71" i="1" s="1"/>
  <c r="Q70" i="1"/>
  <c r="Y70" i="1" s="1"/>
  <c r="P70" i="1"/>
  <c r="X70" i="1" s="1"/>
  <c r="O70" i="1"/>
  <c r="W70" i="1" s="1"/>
  <c r="N70" i="1"/>
  <c r="V70" i="1" s="1"/>
  <c r="M70" i="1"/>
  <c r="U70" i="1" s="1"/>
  <c r="L70" i="1"/>
  <c r="T70" i="1" s="1"/>
  <c r="K70" i="1"/>
  <c r="S70" i="1" s="1"/>
  <c r="Z70" i="1" s="1"/>
  <c r="Q69" i="1"/>
  <c r="Y69" i="1" s="1"/>
  <c r="P69" i="1"/>
  <c r="X69" i="1" s="1"/>
  <c r="O69" i="1"/>
  <c r="W69" i="1" s="1"/>
  <c r="N69" i="1"/>
  <c r="V69" i="1" s="1"/>
  <c r="M69" i="1"/>
  <c r="U69" i="1" s="1"/>
  <c r="L69" i="1"/>
  <c r="T69" i="1" s="1"/>
  <c r="K69" i="1"/>
  <c r="S69" i="1" s="1"/>
  <c r="Z69" i="1" s="1"/>
  <c r="Q68" i="1"/>
  <c r="Y68" i="1" s="1"/>
  <c r="P68" i="1"/>
  <c r="X68" i="1" s="1"/>
  <c r="O68" i="1"/>
  <c r="W68" i="1" s="1"/>
  <c r="N68" i="1"/>
  <c r="V68" i="1" s="1"/>
  <c r="M68" i="1"/>
  <c r="U68" i="1" s="1"/>
  <c r="L68" i="1"/>
  <c r="T68" i="1" s="1"/>
  <c r="K68" i="1"/>
  <c r="S68" i="1" s="1"/>
  <c r="Z68" i="1" s="1"/>
  <c r="Q67" i="1"/>
  <c r="Y67" i="1" s="1"/>
  <c r="P67" i="1"/>
  <c r="X67" i="1" s="1"/>
  <c r="O67" i="1"/>
  <c r="W67" i="1" s="1"/>
  <c r="N67" i="1"/>
  <c r="V67" i="1" s="1"/>
  <c r="M67" i="1"/>
  <c r="U67" i="1" s="1"/>
  <c r="L67" i="1"/>
  <c r="T67" i="1" s="1"/>
  <c r="K67" i="1"/>
  <c r="S67" i="1" s="1"/>
  <c r="Z67" i="1" s="1"/>
  <c r="Q66" i="1"/>
  <c r="Y66" i="1" s="1"/>
  <c r="Q39" i="1"/>
  <c r="Y39" i="1" s="1"/>
  <c r="P39" i="1"/>
  <c r="X39" i="1" s="1"/>
  <c r="O39" i="1"/>
  <c r="W39" i="1" s="1"/>
  <c r="N39" i="1"/>
  <c r="V39" i="1" s="1"/>
  <c r="M39" i="1"/>
  <c r="U39" i="1" s="1"/>
  <c r="L39" i="1"/>
  <c r="T39" i="1" s="1"/>
  <c r="K39" i="1"/>
  <c r="S39" i="1" s="1"/>
  <c r="Z39" i="1" s="1"/>
  <c r="Q38" i="1"/>
  <c r="Y38" i="1" s="1"/>
  <c r="P38" i="1"/>
  <c r="X38" i="1" s="1"/>
  <c r="O38" i="1"/>
  <c r="W38" i="1" s="1"/>
  <c r="N38" i="1"/>
  <c r="V38" i="1" s="1"/>
  <c r="M38" i="1"/>
  <c r="U38" i="1" s="1"/>
  <c r="L38" i="1"/>
  <c r="T38" i="1" s="1"/>
  <c r="K38" i="1"/>
  <c r="S38" i="1" s="1"/>
  <c r="Z38" i="1" s="1"/>
  <c r="Q37" i="1"/>
  <c r="Y37" i="1" s="1"/>
  <c r="P37" i="1"/>
  <c r="X37" i="1" s="1"/>
  <c r="O37" i="1"/>
  <c r="W37" i="1" s="1"/>
  <c r="N37" i="1"/>
  <c r="V37" i="1" s="1"/>
  <c r="O61" i="1"/>
  <c r="W61" i="1" s="1"/>
  <c r="L37" i="1"/>
  <c r="T37" i="1" s="1"/>
  <c r="K37" i="1"/>
  <c r="S37" i="1" s="1"/>
  <c r="Q36" i="1"/>
  <c r="Y36" i="1" s="1"/>
  <c r="P36" i="1"/>
  <c r="X36" i="1" s="1"/>
  <c r="O36" i="1"/>
  <c r="W36" i="1" s="1"/>
  <c r="N36" i="1"/>
  <c r="V36" i="1" s="1"/>
  <c r="M36" i="1"/>
  <c r="U36" i="1" s="1"/>
  <c r="L36" i="1"/>
  <c r="T36" i="1" s="1"/>
  <c r="K36" i="1"/>
  <c r="S36" i="1" s="1"/>
  <c r="Z36" i="1" s="1"/>
  <c r="Q35" i="1"/>
  <c r="Y35" i="1" s="1"/>
  <c r="P35" i="1"/>
  <c r="X35" i="1" s="1"/>
  <c r="O35" i="1"/>
  <c r="W35" i="1" s="1"/>
  <c r="N35" i="1"/>
  <c r="V35" i="1" s="1"/>
  <c r="M35" i="1"/>
  <c r="U35" i="1" s="1"/>
  <c r="L35" i="1"/>
  <c r="T35" i="1" s="1"/>
  <c r="K35" i="1"/>
  <c r="S35" i="1" s="1"/>
  <c r="Z35" i="1" s="1"/>
  <c r="Q34" i="1"/>
  <c r="Y34" i="1" s="1"/>
  <c r="P34" i="1"/>
  <c r="X34" i="1" s="1"/>
  <c r="O34" i="1"/>
  <c r="W34" i="1" s="1"/>
  <c r="N34" i="1"/>
  <c r="V34" i="1" s="1"/>
  <c r="M34" i="1"/>
  <c r="U34" i="1" s="1"/>
  <c r="L34" i="1"/>
  <c r="T34" i="1" s="1"/>
  <c r="K34" i="1"/>
  <c r="S34" i="1" s="1"/>
  <c r="Z34" i="1" s="1"/>
  <c r="Q33" i="1"/>
  <c r="Y33" i="1" s="1"/>
  <c r="P33" i="1"/>
  <c r="X33" i="1" s="1"/>
  <c r="O33" i="1"/>
  <c r="W33" i="1" s="1"/>
  <c r="N33" i="1"/>
  <c r="V33" i="1" s="1"/>
  <c r="M33" i="1"/>
  <c r="U33" i="1" s="1"/>
  <c r="L33" i="1"/>
  <c r="T33" i="1" s="1"/>
  <c r="K33" i="1"/>
  <c r="S33" i="1" s="1"/>
  <c r="Z33" i="1" s="1"/>
  <c r="Q32" i="1"/>
  <c r="Y32" i="1" s="1"/>
  <c r="P32" i="1"/>
  <c r="X32" i="1" s="1"/>
  <c r="O32" i="1"/>
  <c r="W32" i="1" s="1"/>
  <c r="N32" i="1"/>
  <c r="V32" i="1" s="1"/>
  <c r="M32" i="1"/>
  <c r="U32" i="1" s="1"/>
  <c r="L32" i="1"/>
  <c r="T32" i="1" s="1"/>
  <c r="K32" i="1"/>
  <c r="S32" i="1" s="1"/>
  <c r="Z32" i="1" s="1"/>
  <c r="Q31" i="1"/>
  <c r="Y31" i="1" s="1"/>
  <c r="P31" i="1"/>
  <c r="X31" i="1" s="1"/>
  <c r="O31" i="1"/>
  <c r="W31" i="1" s="1"/>
  <c r="N31" i="1"/>
  <c r="V31" i="1" s="1"/>
  <c r="M31" i="1"/>
  <c r="U31" i="1" s="1"/>
  <c r="L31" i="1"/>
  <c r="T31" i="1" s="1"/>
  <c r="K31" i="1"/>
  <c r="S31" i="1" s="1"/>
  <c r="Z31" i="1" s="1"/>
  <c r="Q30" i="1"/>
  <c r="Y30" i="1" s="1"/>
  <c r="P30" i="1"/>
  <c r="X30" i="1" s="1"/>
  <c r="O30" i="1"/>
  <c r="W30" i="1" s="1"/>
  <c r="N30" i="1"/>
  <c r="V30" i="1" s="1"/>
  <c r="M30" i="1"/>
  <c r="U30" i="1" s="1"/>
  <c r="L30" i="1"/>
  <c r="T30" i="1" s="1"/>
  <c r="K30" i="1"/>
  <c r="S30" i="1" s="1"/>
  <c r="Z30" i="1" s="1"/>
  <c r="Q29" i="1"/>
  <c r="Y29" i="1" s="1"/>
  <c r="P29" i="1"/>
  <c r="X29" i="1" s="1"/>
  <c r="O29" i="1"/>
  <c r="W29" i="1" s="1"/>
  <c r="N29" i="1"/>
  <c r="V29" i="1" s="1"/>
  <c r="M29" i="1"/>
  <c r="U29" i="1" s="1"/>
  <c r="L29" i="1"/>
  <c r="T29" i="1" s="1"/>
  <c r="K29" i="1"/>
  <c r="S29" i="1" s="1"/>
  <c r="Z29" i="1" s="1"/>
  <c r="Q28" i="1"/>
  <c r="Y28" i="1" s="1"/>
  <c r="P28" i="1"/>
  <c r="X28" i="1" s="1"/>
  <c r="O28" i="1"/>
  <c r="N28" i="1"/>
  <c r="M28" i="1"/>
  <c r="U28" i="1" s="1"/>
  <c r="L28" i="1"/>
  <c r="T28" i="1" s="1"/>
  <c r="K28" i="1"/>
  <c r="S28" i="1" s="1"/>
  <c r="Z28" i="1" s="1"/>
  <c r="Q27" i="1"/>
  <c r="Y27" i="1" s="1"/>
  <c r="P27" i="1"/>
  <c r="X27" i="1" s="1"/>
  <c r="O27" i="1"/>
  <c r="N27" i="1"/>
  <c r="M27" i="1"/>
  <c r="U27" i="1" s="1"/>
  <c r="L27" i="1"/>
  <c r="T27" i="1" s="1"/>
  <c r="K27" i="1"/>
  <c r="S27" i="1" s="1"/>
  <c r="Q26" i="1"/>
  <c r="Y26" i="1" s="1"/>
  <c r="P26" i="1"/>
  <c r="X26" i="1" s="1"/>
  <c r="O26" i="1"/>
  <c r="N26" i="1"/>
  <c r="M26" i="1"/>
  <c r="U26" i="1" s="1"/>
  <c r="L26" i="1"/>
  <c r="T26" i="1" s="1"/>
  <c r="K26" i="1"/>
  <c r="S26" i="1" s="1"/>
  <c r="Z26" i="1" s="1"/>
  <c r="Q25" i="1"/>
  <c r="Y25" i="1" s="1"/>
  <c r="P25" i="1"/>
  <c r="X25" i="1" s="1"/>
  <c r="O25" i="1"/>
  <c r="N25" i="1"/>
  <c r="M25" i="1"/>
  <c r="U25" i="1" s="1"/>
  <c r="L25" i="1"/>
  <c r="T25" i="1" s="1"/>
  <c r="K25" i="1"/>
  <c r="S25" i="1" s="1"/>
  <c r="Z25" i="1" s="1"/>
  <c r="Q24" i="1"/>
  <c r="Y24" i="1" s="1"/>
  <c r="P24" i="1"/>
  <c r="X24" i="1" s="1"/>
  <c r="O24" i="1"/>
  <c r="N24" i="1"/>
  <c r="M24" i="1"/>
  <c r="U24" i="1" s="1"/>
  <c r="L24" i="1"/>
  <c r="T24" i="1" s="1"/>
  <c r="K24" i="1"/>
  <c r="S24" i="1" s="1"/>
  <c r="Z24" i="1" s="1"/>
  <c r="Q23" i="1"/>
  <c r="Y23" i="1" s="1"/>
  <c r="P23" i="1"/>
  <c r="X23" i="1" s="1"/>
  <c r="O23" i="1"/>
  <c r="N23" i="1"/>
  <c r="M23" i="1"/>
  <c r="U23" i="1" s="1"/>
  <c r="L23" i="1"/>
  <c r="T23" i="1" s="1"/>
  <c r="K23" i="1"/>
  <c r="S23" i="1" s="1"/>
  <c r="Z23" i="1" s="1"/>
  <c r="Q22" i="1"/>
  <c r="Y22" i="1" s="1"/>
  <c r="P22" i="1"/>
  <c r="X22" i="1" s="1"/>
  <c r="O22" i="1"/>
  <c r="N22" i="1"/>
  <c r="M22" i="1"/>
  <c r="U22" i="1" s="1"/>
  <c r="L22" i="1"/>
  <c r="T22" i="1" s="1"/>
  <c r="K22" i="1"/>
  <c r="S22" i="1" s="1"/>
  <c r="Q21" i="1"/>
  <c r="Y21" i="1" s="1"/>
  <c r="P21" i="1"/>
  <c r="X21" i="1" s="1"/>
  <c r="O21" i="1"/>
  <c r="N21" i="1"/>
  <c r="M21" i="1"/>
  <c r="U21" i="1" s="1"/>
  <c r="L21" i="1"/>
  <c r="T21" i="1" s="1"/>
  <c r="K21" i="1"/>
  <c r="S21" i="1" s="1"/>
  <c r="Z21" i="1" s="1"/>
  <c r="Q20" i="1"/>
  <c r="Y20" i="1" s="1"/>
  <c r="P20" i="1"/>
  <c r="X20" i="1" s="1"/>
  <c r="O20" i="1"/>
  <c r="N20" i="1"/>
  <c r="M20" i="1"/>
  <c r="U20" i="1" s="1"/>
  <c r="L20" i="1"/>
  <c r="T20" i="1" s="1"/>
  <c r="K20" i="1"/>
  <c r="S20" i="1" s="1"/>
  <c r="Z20" i="1" s="1"/>
  <c r="Q19" i="1"/>
  <c r="Y19" i="1" s="1"/>
  <c r="P19" i="1"/>
  <c r="X19" i="1" s="1"/>
  <c r="O19" i="1"/>
  <c r="N19" i="1"/>
  <c r="M19" i="1"/>
  <c r="U19" i="1" s="1"/>
  <c r="L19" i="1"/>
  <c r="T19" i="1" s="1"/>
  <c r="K19" i="1"/>
  <c r="S19" i="1" s="1"/>
  <c r="Z19" i="1" s="1"/>
  <c r="Q18" i="1"/>
  <c r="Y18" i="1" s="1"/>
  <c r="P18" i="1"/>
  <c r="X18" i="1" s="1"/>
  <c r="O18" i="1"/>
  <c r="N18" i="1"/>
  <c r="M18" i="1"/>
  <c r="U18" i="1" s="1"/>
  <c r="L18" i="1"/>
  <c r="T18" i="1" s="1"/>
  <c r="K18" i="1"/>
  <c r="S18" i="1" s="1"/>
  <c r="Z18" i="1" s="1"/>
  <c r="P66" i="1"/>
  <c r="X66" i="1" s="1"/>
  <c r="Q17" i="1"/>
  <c r="Y17" i="1" s="1"/>
  <c r="P17" i="1"/>
  <c r="X17" i="1" s="1"/>
  <c r="O17" i="1"/>
  <c r="N17" i="1"/>
  <c r="M17" i="1"/>
  <c r="U17" i="1" s="1"/>
  <c r="L17" i="1"/>
  <c r="T17" i="1" s="1"/>
  <c r="Z17" i="1" s="1"/>
  <c r="Q16" i="1"/>
  <c r="Y16" i="1" s="1"/>
  <c r="P16" i="1"/>
  <c r="X16" i="1" s="1"/>
  <c r="O16" i="1"/>
  <c r="N16" i="1"/>
  <c r="M16" i="1"/>
  <c r="U16" i="1" s="1"/>
  <c r="L16" i="1"/>
  <c r="T16" i="1" s="1"/>
  <c r="K16" i="1"/>
  <c r="S16" i="1" s="1"/>
  <c r="Z16" i="1" s="1"/>
  <c r="Q15" i="1"/>
  <c r="Y15" i="1" s="1"/>
  <c r="P15" i="1"/>
  <c r="X15" i="1" s="1"/>
  <c r="O15" i="1"/>
  <c r="N15" i="1"/>
  <c r="M15" i="1"/>
  <c r="U15" i="1" s="1"/>
  <c r="L15" i="1"/>
  <c r="T15" i="1" s="1"/>
  <c r="K15" i="1"/>
  <c r="S15" i="1" s="1"/>
  <c r="Z15" i="1" s="1"/>
  <c r="Q14" i="1"/>
  <c r="Y14" i="1" s="1"/>
  <c r="P14" i="1"/>
  <c r="X14" i="1" s="1"/>
  <c r="O14" i="1"/>
  <c r="N14" i="1"/>
  <c r="K14" i="1"/>
  <c r="S14" i="1" s="1"/>
  <c r="Z14" i="1" s="1"/>
  <c r="Q13" i="1"/>
  <c r="Y13" i="1" s="1"/>
  <c r="P13" i="1"/>
  <c r="X13" i="1" s="1"/>
  <c r="O13" i="1"/>
  <c r="N13" i="1"/>
  <c r="M13" i="1"/>
  <c r="U13" i="1" s="1"/>
  <c r="L13" i="1"/>
  <c r="T13" i="1" s="1"/>
  <c r="K13" i="1"/>
  <c r="S13" i="1" s="1"/>
  <c r="Z13" i="1" s="1"/>
  <c r="Q12" i="1"/>
  <c r="Y12" i="1" s="1"/>
  <c r="O12" i="1"/>
  <c r="M12" i="1"/>
  <c r="U12" i="1" s="1"/>
  <c r="K12" i="1"/>
  <c r="S12" i="1" s="1"/>
  <c r="Z12" i="1" s="1"/>
  <c r="P11" i="1"/>
  <c r="X11" i="1" s="1"/>
  <c r="M11" i="1"/>
  <c r="U11" i="1" s="1"/>
  <c r="K11" i="1"/>
  <c r="S11" i="1" s="1"/>
  <c r="Z11" i="1" s="1"/>
  <c r="P10" i="1"/>
  <c r="X10" i="1" s="1"/>
  <c r="M10" i="1"/>
  <c r="U10" i="1" s="1"/>
  <c r="K10" i="1"/>
  <c r="S10" i="1" s="1"/>
  <c r="Z10" i="1" s="1"/>
  <c r="Q9" i="1"/>
  <c r="Y9" i="1" s="1"/>
  <c r="O9" i="1"/>
  <c r="N9" i="1"/>
  <c r="L9" i="1"/>
  <c r="T9" i="1" s="1"/>
  <c r="Q8" i="1"/>
  <c r="Y8" i="1" s="1"/>
  <c r="O8" i="1"/>
  <c r="M8" i="1"/>
  <c r="U8" i="1" s="1"/>
  <c r="K8" i="1"/>
  <c r="S8" i="1" s="1"/>
  <c r="Z8" i="1" s="1"/>
  <c r="P7" i="1"/>
  <c r="X7" i="1" s="1"/>
  <c r="M7" i="1"/>
  <c r="U7" i="1" s="1"/>
  <c r="K7" i="1"/>
  <c r="S7" i="1" s="1"/>
  <c r="Z7" i="1" s="1"/>
  <c r="O6" i="1"/>
  <c r="M6" i="1"/>
  <c r="U6" i="1" s="1"/>
  <c r="K6" i="1"/>
  <c r="S6" i="1" s="1"/>
  <c r="Z6" i="1" s="1"/>
  <c r="Q5" i="1"/>
  <c r="Y5" i="1" s="1"/>
  <c r="P5" i="1"/>
  <c r="X5" i="1" s="1"/>
  <c r="N5" i="1"/>
  <c r="L5" i="1"/>
  <c r="T5" i="1" s="1"/>
  <c r="O66" i="1"/>
  <c r="W66" i="1" s="1"/>
  <c r="Q4" i="1"/>
  <c r="Y4" i="1" s="1"/>
  <c r="O4" i="1"/>
  <c r="M4" i="1"/>
  <c r="U4" i="1" s="1"/>
  <c r="L4" i="1"/>
  <c r="T4" i="1" s="1"/>
  <c r="N66" i="1"/>
  <c r="V66" i="1" s="1"/>
  <c r="M66" i="1"/>
  <c r="U66" i="1" s="1"/>
  <c r="L66" i="1"/>
  <c r="T66" i="1" s="1"/>
  <c r="K66" i="1"/>
  <c r="S66" i="1" s="1"/>
  <c r="Q65" i="1"/>
  <c r="Y65" i="1" s="1"/>
  <c r="P65" i="1"/>
  <c r="X65" i="1" s="1"/>
  <c r="O65" i="1"/>
  <c r="W65" i="1" s="1"/>
  <c r="N65" i="1"/>
  <c r="V65" i="1" s="1"/>
  <c r="M65" i="1"/>
  <c r="U65" i="1" s="1"/>
  <c r="L65" i="1"/>
  <c r="T65" i="1" s="1"/>
  <c r="K65" i="1"/>
  <c r="S65" i="1" s="1"/>
  <c r="Z65" i="1" s="1"/>
  <c r="Q64" i="1"/>
  <c r="Y64" i="1" s="1"/>
  <c r="P64" i="1"/>
  <c r="X64" i="1" s="1"/>
  <c r="O64" i="1"/>
  <c r="W64" i="1" s="1"/>
  <c r="N64" i="1"/>
  <c r="V64" i="1" s="1"/>
  <c r="M64" i="1"/>
  <c r="U64" i="1" s="1"/>
  <c r="L64" i="1"/>
  <c r="T64" i="1" s="1"/>
  <c r="K64" i="1"/>
  <c r="S64" i="1" s="1"/>
  <c r="Z64" i="1" s="1"/>
  <c r="Q63" i="1"/>
  <c r="Y63" i="1" s="1"/>
  <c r="P63" i="1"/>
  <c r="X63" i="1" s="1"/>
  <c r="O63" i="1"/>
  <c r="W63" i="1" s="1"/>
  <c r="N63" i="1"/>
  <c r="V63" i="1" s="1"/>
  <c r="M63" i="1"/>
  <c r="U63" i="1" s="1"/>
  <c r="L63" i="1"/>
  <c r="T63" i="1" s="1"/>
  <c r="K63" i="1"/>
  <c r="S63" i="1" s="1"/>
  <c r="Z63" i="1" s="1"/>
  <c r="Q62" i="1"/>
  <c r="Y62" i="1" s="1"/>
  <c r="P62" i="1"/>
  <c r="X62" i="1" s="1"/>
  <c r="O62" i="1"/>
  <c r="W62" i="1" s="1"/>
  <c r="N62" i="1"/>
  <c r="V62" i="1" s="1"/>
  <c r="M62" i="1"/>
  <c r="U62" i="1" s="1"/>
  <c r="L62" i="1"/>
  <c r="T62" i="1" s="1"/>
  <c r="K62" i="1"/>
  <c r="S62" i="1" s="1"/>
  <c r="Z62" i="1" s="1"/>
  <c r="Q61" i="1"/>
  <c r="Y61" i="1" s="1"/>
  <c r="P61" i="1"/>
  <c r="X61" i="1" s="1"/>
  <c r="Q78" i="1"/>
  <c r="Y78" i="1" s="1"/>
  <c r="N61" i="1"/>
  <c r="V61" i="1" s="1"/>
  <c r="M61" i="1"/>
  <c r="U61" i="1" s="1"/>
  <c r="L61" i="1"/>
  <c r="T61" i="1" s="1"/>
  <c r="K61" i="1"/>
  <c r="S61" i="1" s="1"/>
  <c r="Z61" i="1" s="1"/>
  <c r="Q60" i="1"/>
  <c r="Y60" i="1" s="1"/>
  <c r="P60" i="1"/>
  <c r="X60" i="1" s="1"/>
  <c r="O60" i="1"/>
  <c r="W60" i="1" s="1"/>
  <c r="N60" i="1"/>
  <c r="V60" i="1" s="1"/>
  <c r="M60" i="1"/>
  <c r="U60" i="1" s="1"/>
  <c r="L60" i="1"/>
  <c r="T60" i="1" s="1"/>
  <c r="K60" i="1"/>
  <c r="S60" i="1" s="1"/>
  <c r="Z60" i="1" s="1"/>
  <c r="Q59" i="1"/>
  <c r="Y59" i="1" s="1"/>
  <c r="P59" i="1"/>
  <c r="X59" i="1" s="1"/>
  <c r="O59" i="1"/>
  <c r="W59" i="1" s="1"/>
  <c r="N59" i="1"/>
  <c r="V59" i="1" s="1"/>
  <c r="M59" i="1"/>
  <c r="U59" i="1" s="1"/>
  <c r="L59" i="1"/>
  <c r="T59" i="1" s="1"/>
  <c r="K59" i="1"/>
  <c r="S59" i="1" s="1"/>
  <c r="Z59" i="1" s="1"/>
  <c r="Q58" i="1"/>
  <c r="Y58" i="1" s="1"/>
  <c r="P58" i="1"/>
  <c r="X58" i="1" s="1"/>
  <c r="O58" i="1"/>
  <c r="W58" i="1" s="1"/>
  <c r="N58" i="1"/>
  <c r="V58" i="1" s="1"/>
  <c r="M58" i="1"/>
  <c r="U58" i="1" s="1"/>
  <c r="L58" i="1"/>
  <c r="T58" i="1" s="1"/>
  <c r="K58" i="1"/>
  <c r="S58" i="1" s="1"/>
  <c r="Z58" i="1" s="1"/>
  <c r="Q57" i="1"/>
  <c r="Y57" i="1" s="1"/>
  <c r="P57" i="1"/>
  <c r="X57" i="1" s="1"/>
  <c r="O57" i="1"/>
  <c r="W57" i="1" s="1"/>
  <c r="N57" i="1"/>
  <c r="V57" i="1" s="1"/>
  <c r="M57" i="1"/>
  <c r="U57" i="1" s="1"/>
  <c r="L57" i="1"/>
  <c r="T57" i="1" s="1"/>
  <c r="K57" i="1"/>
  <c r="S57" i="1" s="1"/>
  <c r="Z57" i="1" s="1"/>
  <c r="Q56" i="1"/>
  <c r="Y56" i="1" s="1"/>
  <c r="P56" i="1"/>
  <c r="X56" i="1" s="1"/>
  <c r="O56" i="1"/>
  <c r="W56" i="1" s="1"/>
  <c r="N56" i="1"/>
  <c r="V56" i="1" s="1"/>
  <c r="M56" i="1"/>
  <c r="U56" i="1" s="1"/>
  <c r="L56" i="1"/>
  <c r="T56" i="1" s="1"/>
  <c r="K56" i="1"/>
  <c r="S56" i="1" s="1"/>
  <c r="Z56" i="1" s="1"/>
  <c r="Q55" i="1"/>
  <c r="Y55" i="1" s="1"/>
  <c r="P55" i="1"/>
  <c r="X55" i="1" s="1"/>
  <c r="O55" i="1"/>
  <c r="W55" i="1" s="1"/>
  <c r="N55" i="1"/>
  <c r="V55" i="1" s="1"/>
  <c r="M55" i="1"/>
  <c r="U55" i="1" s="1"/>
  <c r="M37" i="1"/>
  <c r="U37" i="1" s="1"/>
  <c r="U67" i="6"/>
  <c r="U43" i="6"/>
  <c r="Y83" i="4"/>
  <c r="Y71" i="4"/>
  <c r="U21" i="6" l="1"/>
  <c r="Y39" i="4"/>
  <c r="Z47" i="1"/>
  <c r="Z66" i="1"/>
  <c r="Y59" i="4"/>
  <c r="Y58" i="4"/>
  <c r="Y70" i="4"/>
  <c r="Z85" i="1"/>
  <c r="Y60" i="4"/>
  <c r="Y53" i="4"/>
  <c r="Y33" i="4"/>
  <c r="Y47" i="4"/>
  <c r="AB23" i="3"/>
  <c r="Z42" i="1"/>
  <c r="Z27" i="1"/>
  <c r="P4" i="6"/>
  <c r="J84" i="6"/>
  <c r="Q4" i="6"/>
  <c r="K84" i="6"/>
  <c r="R4" i="6"/>
  <c r="L84" i="6"/>
  <c r="S4" i="6"/>
  <c r="M84" i="6"/>
  <c r="T4" i="6"/>
  <c r="N84" i="6"/>
  <c r="U24" i="3"/>
  <c r="AB24" i="3" s="1"/>
  <c r="L25" i="3"/>
  <c r="Z4" i="1"/>
  <c r="S88" i="1"/>
  <c r="U12" i="6"/>
  <c r="U14" i="6"/>
  <c r="U13" i="6"/>
  <c r="U15" i="6"/>
  <c r="U16" i="6"/>
  <c r="U17" i="6"/>
  <c r="U18" i="6"/>
  <c r="U19" i="6"/>
  <c r="U20" i="6"/>
  <c r="U22" i="6"/>
  <c r="U23" i="6"/>
  <c r="U24" i="6"/>
  <c r="U25" i="6"/>
  <c r="U26" i="6"/>
  <c r="U27" i="6"/>
  <c r="U28" i="6"/>
  <c r="U29" i="6"/>
  <c r="U30" i="6"/>
  <c r="U31" i="6"/>
  <c r="U32" i="6"/>
  <c r="U33" i="6"/>
  <c r="U10" i="6"/>
  <c r="U34" i="6"/>
  <c r="U35" i="6"/>
  <c r="U36" i="6"/>
  <c r="U5" i="6"/>
  <c r="U11" i="6"/>
  <c r="U6" i="6"/>
  <c r="U7" i="6"/>
  <c r="U8" i="6"/>
  <c r="U9" i="6"/>
  <c r="Y64" i="4"/>
  <c r="AB6" i="3"/>
  <c r="AB15" i="3"/>
  <c r="AB22" i="3"/>
  <c r="Z55" i="1"/>
  <c r="Z52" i="1"/>
  <c r="X88" i="1"/>
  <c r="Y88" i="1"/>
  <c r="AB17" i="3"/>
  <c r="AB16" i="3"/>
  <c r="AB14" i="3"/>
  <c r="AB4" i="3"/>
  <c r="AB5" i="3"/>
  <c r="AB20" i="3"/>
  <c r="AB10" i="3"/>
  <c r="AB8" i="3"/>
  <c r="Z9" i="1"/>
  <c r="Z5" i="1"/>
  <c r="Z78" i="1"/>
  <c r="T88" i="1"/>
  <c r="Z76" i="1"/>
  <c r="Z37" i="1"/>
  <c r="W88" i="1"/>
  <c r="V88" i="1"/>
  <c r="U88" i="1"/>
  <c r="Z22" i="1"/>
  <c r="Y11" i="4"/>
  <c r="Y50" i="4"/>
  <c r="Y24" i="4"/>
  <c r="Y22" i="4"/>
  <c r="Y6" i="4"/>
  <c r="Y27" i="4"/>
  <c r="Y38" i="4"/>
  <c r="Y9" i="4"/>
  <c r="Y19" i="4"/>
  <c r="Y15" i="4"/>
  <c r="Y4" i="4"/>
  <c r="Y46" i="4"/>
  <c r="Y21" i="4"/>
  <c r="Z88" i="1" l="1"/>
  <c r="S89" i="1"/>
  <c r="U4" i="6"/>
  <c r="J85" i="6"/>
</calcChain>
</file>

<file path=xl/sharedStrings.xml><?xml version="1.0" encoding="utf-8"?>
<sst xmlns="http://schemas.openxmlformats.org/spreadsheetml/2006/main" count="1031" uniqueCount="230">
  <si>
    <t>Tanggal Service Exp Apar</t>
  </si>
  <si>
    <t>B9800SFU</t>
  </si>
  <si>
    <t>PT PERTAMINA PATRA NIAGA</t>
  </si>
  <si>
    <t>KETERANGAN APAR HARI</t>
  </si>
  <si>
    <t>Tanggal Service Exp Apar Cadangan</t>
  </si>
  <si>
    <t>UNIT EXP APAR</t>
  </si>
  <si>
    <t>NO</t>
  </si>
  <si>
    <t>NOPOL</t>
  </si>
  <si>
    <t>TRANSPORTIR</t>
  </si>
  <si>
    <t>CO2 PERTAMA</t>
  </si>
  <si>
    <t>CO2 Pertama</t>
  </si>
  <si>
    <t>CO2 KEDUA</t>
  </si>
  <si>
    <t>DCP PRESSURE</t>
  </si>
  <si>
    <t>CO2 Kedua</t>
  </si>
  <si>
    <t>FOAM</t>
  </si>
  <si>
    <t>DCP PRESSURE 1</t>
  </si>
  <si>
    <t>DCP PRESSURE 2</t>
  </si>
  <si>
    <t>DCP CATRIDGE</t>
  </si>
  <si>
    <t>FOAM 1</t>
  </si>
  <si>
    <t>FOAM 2</t>
  </si>
  <si>
    <t>DCP</t>
  </si>
  <si>
    <t>Foam</t>
  </si>
  <si>
    <t>Catride</t>
  </si>
  <si>
    <t>DCP 1</t>
  </si>
  <si>
    <t>DCP 2</t>
  </si>
  <si>
    <t>Foam 1</t>
  </si>
  <si>
    <t>B9805SFU</t>
  </si>
  <si>
    <t>Foam 2</t>
  </si>
  <si>
    <t>Jumlah</t>
  </si>
  <si>
    <t>AD8603OH</t>
  </si>
  <si>
    <t>AA8410OP</t>
  </si>
  <si>
    <t>PT. Karyamas</t>
  </si>
  <si>
    <t>PT RISKI HARTATA ABADI</t>
  </si>
  <si>
    <t>D9524AG</t>
  </si>
  <si>
    <t>PT. LOGISTIK ENERGY ARMADA PRIMA</t>
  </si>
  <si>
    <t>AA8860OF</t>
  </si>
  <si>
    <t>D9527AG</t>
  </si>
  <si>
    <t>PT. KARYAMAS MANUNGGAL JAYA</t>
  </si>
  <si>
    <t>B9870SEI</t>
  </si>
  <si>
    <t>PT. TRANSMIGASINDO</t>
  </si>
  <si>
    <t>AD8618OH</t>
  </si>
  <si>
    <t>B9868SEI</t>
  </si>
  <si>
    <t>B9022SFV</t>
  </si>
  <si>
    <t>B9875SEI</t>
  </si>
  <si>
    <t>B9061SFV</t>
  </si>
  <si>
    <t>PT. ELNUSA PETROFIN</t>
  </si>
  <si>
    <t>B9873SEI</t>
  </si>
  <si>
    <t>B9077SEI</t>
  </si>
  <si>
    <t>B9869SEI</t>
  </si>
  <si>
    <t>B9106SEI</t>
  </si>
  <si>
    <t>B9867SEI</t>
  </si>
  <si>
    <t>B9223SFV</t>
  </si>
  <si>
    <t>B9871SEI</t>
  </si>
  <si>
    <t>B9290TFV</t>
  </si>
  <si>
    <t>PT. ADAM TRANS</t>
  </si>
  <si>
    <t>B9866SEI</t>
  </si>
  <si>
    <t>B9300TFV</t>
  </si>
  <si>
    <t>B9874SEI</t>
  </si>
  <si>
    <t>B9355TFV</t>
  </si>
  <si>
    <t>B9906SEI</t>
  </si>
  <si>
    <t>B9376TFV</t>
  </si>
  <si>
    <t>PT. PPN</t>
  </si>
  <si>
    <t>B9907SEI</t>
  </si>
  <si>
    <t>B9378TFV</t>
  </si>
  <si>
    <t>B9908SEI</t>
  </si>
  <si>
    <t>B9504TEI</t>
  </si>
  <si>
    <t>B9683SFU</t>
  </si>
  <si>
    <t>B9505TEI</t>
  </si>
  <si>
    <t>B9520TEI</t>
  </si>
  <si>
    <t>R9029B</t>
  </si>
  <si>
    <t>PT. SERAYU MITRA JAYA</t>
  </si>
  <si>
    <t>B9570SEI</t>
  </si>
  <si>
    <t>B9697SFV</t>
  </si>
  <si>
    <t>R9693B</t>
  </si>
  <si>
    <t>R9694B</t>
  </si>
  <si>
    <t>R8336B</t>
  </si>
  <si>
    <t>B9810TEI</t>
  </si>
  <si>
    <t>R8084K</t>
  </si>
  <si>
    <t>B9811TEI</t>
  </si>
  <si>
    <t>B9812TEI</t>
  </si>
  <si>
    <t>E9225YC</t>
  </si>
  <si>
    <t>PT.PUSPITA CIPTA</t>
  </si>
  <si>
    <t>BOCOR</t>
  </si>
  <si>
    <t>BBM CILACAP</t>
  </si>
  <si>
    <t>E9264YC</t>
  </si>
  <si>
    <t>APAR PENGADAAN BARU DARI TRANSPORTIR</t>
  </si>
  <si>
    <t>ALIH SUPPLY LUAR KOTA</t>
  </si>
  <si>
    <t>E9334YC</t>
  </si>
  <si>
    <t>E9335YC</t>
  </si>
  <si>
    <t>E9412YC</t>
  </si>
  <si>
    <t>E9445YC</t>
  </si>
  <si>
    <t>E9450YC</t>
  </si>
  <si>
    <t>E9542YC</t>
  </si>
  <si>
    <t>E9453YC</t>
  </si>
  <si>
    <t>E9493YC</t>
  </si>
  <si>
    <t>E9495YC</t>
  </si>
  <si>
    <t>E9496YC</t>
  </si>
  <si>
    <t>E9512YC</t>
  </si>
  <si>
    <t>E9535YC</t>
  </si>
  <si>
    <t>E9536YC</t>
  </si>
  <si>
    <t>E9537YC</t>
  </si>
  <si>
    <t>E9547YC</t>
  </si>
  <si>
    <t>PT. PUSPITA CIPTA</t>
  </si>
  <si>
    <t>E9552YC</t>
  </si>
  <si>
    <t>E9554YC</t>
  </si>
  <si>
    <t>E9556YC</t>
  </si>
  <si>
    <t>B9425TEK</t>
  </si>
  <si>
    <t>G9534OA</t>
  </si>
  <si>
    <t>PT. MURNI ADHI JAYA</t>
  </si>
  <si>
    <t>G9532OA</t>
  </si>
  <si>
    <t>G9214OA</t>
  </si>
  <si>
    <t>H8428OH</t>
  </si>
  <si>
    <t>PT. LUMAS BIRU MANDIRI</t>
  </si>
  <si>
    <t>H8481OH</t>
  </si>
  <si>
    <t>H9013OH</t>
  </si>
  <si>
    <t>FOAM RUSAK 1T</t>
  </si>
  <si>
    <t>H9155OF</t>
  </si>
  <si>
    <t>PT.LUMAS PRIMA</t>
  </si>
  <si>
    <t>H9390OF</t>
  </si>
  <si>
    <t>PT. ADHI BUANA PERSADA</t>
  </si>
  <si>
    <t>H9391OF</t>
  </si>
  <si>
    <t>H9392OF</t>
  </si>
  <si>
    <t>H9536OH</t>
  </si>
  <si>
    <t>H9677OF</t>
  </si>
  <si>
    <t>H9698OF</t>
  </si>
  <si>
    <t>H9771OF</t>
  </si>
  <si>
    <t>PT. LUMAS BIRU PRIMA</t>
  </si>
  <si>
    <t>H9739OH</t>
  </si>
  <si>
    <t>H9740OH</t>
  </si>
  <si>
    <t>N8021UEA</t>
  </si>
  <si>
    <t>PT DHARMA CITRA ENERGI</t>
  </si>
  <si>
    <t>N8054UEA</t>
  </si>
  <si>
    <t>N8533UG</t>
  </si>
  <si>
    <t>PT. SINAR WAHANA SURYA</t>
  </si>
  <si>
    <t>N8641UH</t>
  </si>
  <si>
    <t>PT. DHARMA CITRA ENERGI</t>
  </si>
  <si>
    <t>N8864UG</t>
  </si>
  <si>
    <t>N8869UF</t>
  </si>
  <si>
    <t>N9086UI</t>
  </si>
  <si>
    <t>N9326UI</t>
  </si>
  <si>
    <t>N9369UI</t>
  </si>
  <si>
    <t>N9405UH</t>
  </si>
  <si>
    <t>N9657UI</t>
  </si>
  <si>
    <t>N9865UJ</t>
  </si>
  <si>
    <t>R8435CM</t>
  </si>
  <si>
    <t>PT. KATRACO PUTRA SELARAS</t>
  </si>
  <si>
    <t>R9237IH</t>
  </si>
  <si>
    <t>PT. SATU HATI</t>
  </si>
  <si>
    <t>R8293AM</t>
  </si>
  <si>
    <t>R9238IH</t>
  </si>
  <si>
    <t>R9839BR</t>
  </si>
  <si>
    <t>E9446YB</t>
  </si>
  <si>
    <t>PT. PUSPITA</t>
  </si>
  <si>
    <t>R9564B</t>
  </si>
  <si>
    <t>E9452YB</t>
  </si>
  <si>
    <t>R9674B</t>
  </si>
  <si>
    <t>E9453YB</t>
  </si>
  <si>
    <t>R9675B</t>
  </si>
  <si>
    <t>E9456YB</t>
  </si>
  <si>
    <t>R8114K</t>
  </si>
  <si>
    <t>E9457YB</t>
  </si>
  <si>
    <t>B9234SFV</t>
  </si>
  <si>
    <t>E9454YB</t>
  </si>
  <si>
    <t>E9553YB</t>
  </si>
  <si>
    <t>B9246SFV</t>
  </si>
  <si>
    <t>E9557YB</t>
  </si>
  <si>
    <t>KETERANGAN</t>
  </si>
  <si>
    <t>E9560YB</t>
  </si>
  <si>
    <t>MT INDUSTRI</t>
  </si>
  <si>
    <t>STOCK DAN KEBUTUHAN APAR CADANGAN</t>
  </si>
  <si>
    <t>AFKIR</t>
  </si>
  <si>
    <t>JENIS APAR</t>
  </si>
  <si>
    <t>APAR CADANGAN</t>
  </si>
  <si>
    <t>APAR EXPIRED</t>
  </si>
  <si>
    <t>EXPIRED</t>
  </si>
  <si>
    <t>DCP PREESSURE</t>
  </si>
  <si>
    <t>PERBAIKAN</t>
  </si>
  <si>
    <t>CO2 3KG</t>
  </si>
  <si>
    <t>CO2 5KG</t>
  </si>
  <si>
    <t>STOCK PART APAR</t>
  </si>
  <si>
    <t>SELANG</t>
  </si>
  <si>
    <t>SEGEL</t>
  </si>
  <si>
    <t>CORONG CO2</t>
  </si>
  <si>
    <t>TALI TIES</t>
  </si>
  <si>
    <t>KAWAT SEGEL</t>
  </si>
  <si>
    <t>STRIKER EXPIRED</t>
  </si>
  <si>
    <t>SAFETY PIN</t>
  </si>
  <si>
    <t>PT. TANAH PUTIH</t>
  </si>
  <si>
    <t>G8107OA</t>
  </si>
  <si>
    <t>G8106OA</t>
  </si>
  <si>
    <t>G9047OA</t>
  </si>
  <si>
    <t>G9048OA</t>
  </si>
  <si>
    <t>STOCK APAR CADANGAN DCM (FT MAOS)</t>
  </si>
  <si>
    <t>NO 
REGISTRASI</t>
  </si>
  <si>
    <t>TANGGAL 
PENGIRIMAN</t>
  </si>
  <si>
    <t>SUSULAN CADANGAN TURUN DARI MT</t>
  </si>
  <si>
    <t>RESTOCK APAR</t>
  </si>
  <si>
    <t>KETERANGAN
(PENERIMA)</t>
  </si>
  <si>
    <t>TANGGAL 
DIKEMBALIKAN</t>
  </si>
  <si>
    <t>APAR YANG DIKEMBALIKAN KE WS MITRA TEKNIK</t>
  </si>
  <si>
    <t>KETERANGAN
(TIM HINO BERTUGAS)</t>
  </si>
  <si>
    <t>DCP C</t>
  </si>
  <si>
    <t>DCP P</t>
  </si>
  <si>
    <t>CO2:3</t>
  </si>
  <si>
    <t>CO2:5</t>
  </si>
  <si>
    <t>BRIAN</t>
  </si>
  <si>
    <t>TEGUH</t>
  </si>
  <si>
    <t>ADITYA</t>
  </si>
  <si>
    <t>SAHRUL</t>
  </si>
  <si>
    <t>PT. SWS</t>
  </si>
  <si>
    <t>HERIYANTO</t>
  </si>
  <si>
    <t xml:space="preserve">SAHRUL </t>
  </si>
  <si>
    <t>HANAFI</t>
  </si>
  <si>
    <t>NAJEH</t>
  </si>
  <si>
    <t>SARIF</t>
  </si>
  <si>
    <t>PT.PPN</t>
  </si>
  <si>
    <t xml:space="preserve">TOTAL APAR YANG DIKIRIM = </t>
  </si>
  <si>
    <t>TOTAL APAR YANG KEMBALI =</t>
  </si>
  <si>
    <t>PT.ELNUSA</t>
  </si>
  <si>
    <t>TOTAL STOCK HINO</t>
  </si>
  <si>
    <t>TIDAK ADA CATATAN APAR DCP C ATAU DCP P YANG NAIK (DIINPUT SEMENTARA KE DCP P)</t>
  </si>
  <si>
    <t>NOTE : SUSULAN  NOPOL B9223SFV &amp;H9155OF</t>
  </si>
  <si>
    <t>CO2 3 KG</t>
  </si>
  <si>
    <t>CO2 5 KG</t>
  </si>
  <si>
    <t>TOTAL</t>
  </si>
  <si>
    <t>2T</t>
  </si>
  <si>
    <t>E9452YC</t>
  </si>
  <si>
    <t>P 2T, F 2T</t>
  </si>
  <si>
    <t>P 2T F 2T</t>
  </si>
  <si>
    <t>KEBUTUHAN 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</si>
</sst>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d&quot;, &quot;dd&quot; &quot;mmmm&quot; &quot;yyyy"/>
    <numFmt numFmtId="165" formatCode="d\ mmmm\ yyyy"/>
    <numFmt numFmtId="166" formatCode="yyyy\-mm\-dd\ h:mm:ss"/>
    <numFmt numFmtId="167" formatCode="yyyy\-mm\-dd"/>
    <numFmt numFmtId="168" formatCode="d/m/yy"/>
  </numFmts>
  <fonts count="36">
    <font>
      <sz val="10"/>
      <color rgb="FF000000"/>
      <name val="Arial"/>
      <scheme val="minor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3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FFFFFF"/>
      <name val="&quot;Google Sans&quot;"/>
    </font>
    <font>
      <sz val="10"/>
      <color rgb="FF1F1F1F"/>
      <name val="Google Sans Mono"/>
    </font>
    <font>
      <b/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1F1F1F"/>
      <name val="&quot;Google Sans Mono&quot;"/>
    </font>
    <font>
      <b/>
      <sz val="11"/>
      <color theme="1"/>
      <name val="Arial"/>
      <family val="2"/>
      <scheme val="minor"/>
    </font>
    <font>
      <sz val="13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2"/>
      <color rgb="FF000000"/>
      <name val="Arial"/>
      <family val="2"/>
    </font>
    <font>
      <sz val="13"/>
      <color rgb="FFFFFFFF"/>
      <name val="Arial"/>
      <family val="2"/>
    </font>
    <font>
      <b/>
      <sz val="13"/>
      <color theme="1"/>
      <name val="Arial"/>
      <family val="2"/>
      <scheme val="minor"/>
    </font>
    <font>
      <b/>
      <sz val="15"/>
      <color theme="1"/>
      <name val="Arial"/>
      <family val="2"/>
    </font>
    <font>
      <sz val="10"/>
      <color rgb="FF000000"/>
      <name val="Arial"/>
      <family val="2"/>
      <scheme val="minor"/>
    </font>
    <font>
      <sz val="14"/>
      <color theme="1"/>
      <name val="Arial"/>
      <family val="2"/>
    </font>
    <font>
      <sz val="23"/>
      <color theme="1"/>
      <name val="Arial"/>
      <family val="2"/>
    </font>
    <font>
      <b/>
      <sz val="31"/>
      <color rgb="FFFF0000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3"/>
      <color theme="1"/>
      <name val="Calibri"/>
      <family val="2"/>
    </font>
    <font>
      <sz val="13"/>
      <color rgb="FFFF0000"/>
      <name val="Calibri"/>
      <family val="2"/>
    </font>
    <font>
      <b/>
      <sz val="13"/>
      <color rgb="FFFF0000"/>
      <name val="Calibri"/>
      <family val="2"/>
    </font>
    <font>
      <sz val="13"/>
      <color rgb="FF000000"/>
      <name val="Calibri"/>
      <family val="2"/>
    </font>
    <font>
      <b/>
      <sz val="10"/>
      <color rgb="FFFF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4457F"/>
        <bgColor rgb="FF34457F"/>
      </patternFill>
    </fill>
    <fill>
      <patternFill patternType="solid">
        <fgColor rgb="FFF0F4F9"/>
        <bgColor rgb="FFF0F4F9"/>
      </patternFill>
    </fill>
    <fill>
      <patternFill patternType="solid">
        <fgColor rgb="FF80EA33"/>
        <bgColor rgb="FF80EA3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ABDDC5"/>
        <bgColor rgb="FFABDDC5"/>
      </patternFill>
    </fill>
    <fill>
      <patternFill patternType="solid">
        <fgColor rgb="FFEA9999"/>
        <bgColor rgb="FFEA9999"/>
      </patternFill>
    </fill>
    <fill>
      <patternFill patternType="solid">
        <fgColor rgb="FFFFE699"/>
        <bgColor rgb="FFFFE69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3" fillId="4" borderId="2" xfId="0" applyFont="1" applyFill="1" applyBorder="1"/>
    <xf numFmtId="164" fontId="5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14" fontId="8" fillId="7" borderId="0" xfId="0" applyNumberFormat="1" applyFont="1" applyFill="1"/>
    <xf numFmtId="0" fontId="8" fillId="7" borderId="0" xfId="0" applyFont="1" applyFill="1"/>
    <xf numFmtId="0" fontId="9" fillId="3" borderId="1" xfId="0" applyFont="1" applyFill="1" applyBorder="1" applyAlignment="1">
      <alignment horizontal="center"/>
    </xf>
    <xf numFmtId="0" fontId="7" fillId="8" borderId="1" xfId="0" applyFont="1" applyFill="1" applyBorder="1"/>
    <xf numFmtId="0" fontId="1" fillId="2" borderId="5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0" borderId="1" xfId="0" applyFont="1" applyBorder="1"/>
    <xf numFmtId="0" fontId="10" fillId="0" borderId="1" xfId="0" applyFont="1" applyBorder="1" applyAlignment="1">
      <alignment horizontal="center"/>
    </xf>
    <xf numFmtId="0" fontId="7" fillId="0" borderId="0" xfId="0" applyFont="1"/>
    <xf numFmtId="0" fontId="9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6" borderId="2" xfId="0" applyFont="1" applyFill="1" applyBorder="1" applyAlignment="1">
      <alignment horizontal="left"/>
    </xf>
    <xf numFmtId="164" fontId="12" fillId="0" borderId="1" xfId="0" applyNumberFormat="1" applyFont="1" applyBorder="1" applyAlignment="1">
      <alignment horizontal="center"/>
    </xf>
    <xf numFmtId="0" fontId="13" fillId="0" borderId="7" xfId="0" applyFont="1" applyBorder="1"/>
    <xf numFmtId="164" fontId="14" fillId="0" borderId="1" xfId="0" applyNumberFormat="1" applyFont="1" applyBorder="1"/>
    <xf numFmtId="0" fontId="13" fillId="0" borderId="8" xfId="0" applyFont="1" applyBorder="1"/>
    <xf numFmtId="164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64" fontId="7" fillId="6" borderId="1" xfId="0" applyNumberFormat="1" applyFont="1" applyFill="1" applyBorder="1"/>
    <xf numFmtId="0" fontId="1" fillId="6" borderId="1" xfId="0" applyFont="1" applyFill="1" applyBorder="1" applyAlignment="1">
      <alignment horizontal="right"/>
    </xf>
    <xf numFmtId="164" fontId="7" fillId="0" borderId="1" xfId="0" applyNumberFormat="1" applyFont="1" applyBorder="1"/>
    <xf numFmtId="0" fontId="16" fillId="10" borderId="0" xfId="0" applyFont="1" applyFill="1"/>
    <xf numFmtId="0" fontId="16" fillId="10" borderId="0" xfId="0" applyFont="1" applyFill="1" applyAlignment="1">
      <alignment horizontal="center"/>
    </xf>
    <xf numFmtId="164" fontId="17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0" xfId="0" applyFont="1" applyFill="1"/>
    <xf numFmtId="0" fontId="4" fillId="0" borderId="1" xfId="0" applyFont="1" applyBorder="1" applyAlignment="1">
      <alignment horizontal="right"/>
    </xf>
    <xf numFmtId="0" fontId="10" fillId="1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6" borderId="0" xfId="0" applyFont="1" applyFill="1" applyAlignment="1">
      <alignment horizontal="right"/>
    </xf>
    <xf numFmtId="0" fontId="14" fillId="11" borderId="1" xfId="0" applyFont="1" applyFill="1" applyBorder="1" applyAlignment="1">
      <alignment horizontal="center"/>
    </xf>
    <xf numFmtId="0" fontId="14" fillId="0" borderId="1" xfId="0" applyFont="1" applyBorder="1"/>
    <xf numFmtId="166" fontId="14" fillId="0" borderId="1" xfId="0" applyNumberFormat="1" applyFont="1" applyBorder="1"/>
    <xf numFmtId="167" fontId="14" fillId="0" borderId="1" xfId="0" applyNumberFormat="1" applyFont="1" applyBorder="1"/>
    <xf numFmtId="0" fontId="1" fillId="8" borderId="0" xfId="0" applyFont="1" applyFill="1" applyAlignment="1">
      <alignment horizontal="right"/>
    </xf>
    <xf numFmtId="164" fontId="5" fillId="12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13" borderId="7" xfId="0" applyFont="1" applyFill="1" applyBorder="1"/>
    <xf numFmtId="0" fontId="13" fillId="13" borderId="8" xfId="0" applyFont="1" applyFill="1" applyBorder="1"/>
    <xf numFmtId="0" fontId="1" fillId="14" borderId="1" xfId="0" applyFont="1" applyFill="1" applyBorder="1" applyAlignment="1">
      <alignment horizontal="right"/>
    </xf>
    <xf numFmtId="164" fontId="5" fillId="14" borderId="1" xfId="0" applyNumberFormat="1" applyFont="1" applyFill="1" applyBorder="1" applyAlignment="1">
      <alignment horizontal="center"/>
    </xf>
    <xf numFmtId="164" fontId="5" fillId="1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13" fillId="3" borderId="7" xfId="0" applyFont="1" applyFill="1" applyBorder="1"/>
    <xf numFmtId="0" fontId="13" fillId="13" borderId="1" xfId="0" applyFont="1" applyFill="1" applyBorder="1" applyAlignment="1">
      <alignment horizontal="left"/>
    </xf>
    <xf numFmtId="0" fontId="14" fillId="16" borderId="0" xfId="0" applyFont="1" applyFill="1"/>
    <xf numFmtId="0" fontId="14" fillId="0" borderId="0" xfId="0" applyFont="1"/>
    <xf numFmtId="0" fontId="14" fillId="17" borderId="0" xfId="0" applyFont="1" applyFill="1"/>
    <xf numFmtId="0" fontId="14" fillId="18" borderId="0" xfId="0" applyFont="1" applyFill="1"/>
    <xf numFmtId="0" fontId="14" fillId="19" borderId="0" xfId="0" applyFont="1" applyFill="1"/>
    <xf numFmtId="164" fontId="5" fillId="5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0" fontId="19" fillId="6" borderId="2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right"/>
    </xf>
    <xf numFmtId="164" fontId="17" fillId="6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0" fontId="20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/>
    </xf>
    <xf numFmtId="164" fontId="7" fillId="6" borderId="0" xfId="0" applyNumberFormat="1" applyFont="1" applyFill="1"/>
    <xf numFmtId="0" fontId="1" fillId="10" borderId="1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1" fillId="11" borderId="1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right"/>
    </xf>
    <xf numFmtId="0" fontId="3" fillId="8" borderId="2" xfId="0" applyFont="1" applyFill="1" applyBorder="1" applyAlignment="1">
      <alignment horizontal="right"/>
    </xf>
    <xf numFmtId="0" fontId="14" fillId="0" borderId="0" xfId="0" applyFont="1" applyAlignment="1">
      <alignment horizontal="left"/>
    </xf>
    <xf numFmtId="0" fontId="18" fillId="0" borderId="0" xfId="0" applyFont="1"/>
    <xf numFmtId="0" fontId="13" fillId="6" borderId="0" xfId="0" applyFont="1" applyFill="1" applyAlignment="1">
      <alignment horizontal="center"/>
    </xf>
    <xf numFmtId="0" fontId="21" fillId="0" borderId="0" xfId="0" applyFont="1"/>
    <xf numFmtId="0" fontId="14" fillId="11" borderId="0" xfId="0" applyFont="1" applyFill="1"/>
    <xf numFmtId="0" fontId="23" fillId="6" borderId="0" xfId="0" applyFont="1" applyFill="1"/>
    <xf numFmtId="0" fontId="14" fillId="4" borderId="0" xfId="0" applyFont="1" applyFill="1"/>
    <xf numFmtId="0" fontId="10" fillId="11" borderId="1" xfId="0" applyFont="1" applyFill="1" applyBorder="1" applyAlignment="1">
      <alignment horizontal="center"/>
    </xf>
    <xf numFmtId="0" fontId="14" fillId="6" borderId="0" xfId="0" applyFont="1" applyFill="1"/>
    <xf numFmtId="0" fontId="14" fillId="3" borderId="0" xfId="0" applyFont="1" applyFill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14" fillId="5" borderId="0" xfId="0" applyFont="1" applyFill="1"/>
    <xf numFmtId="0" fontId="22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24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5" fillId="0" borderId="1" xfId="0" applyFont="1" applyBorder="1"/>
    <xf numFmtId="0" fontId="5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164" fontId="5" fillId="0" borderId="1" xfId="0" applyNumberFormat="1" applyFont="1" applyBorder="1"/>
    <xf numFmtId="0" fontId="15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164" fontId="5" fillId="6" borderId="1" xfId="0" applyNumberFormat="1" applyFont="1" applyFill="1" applyBorder="1"/>
    <xf numFmtId="164" fontId="12" fillId="6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19" fillId="6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14" fillId="6" borderId="0" xfId="0" applyFont="1" applyFill="1" applyAlignment="1">
      <alignment horizontal="center"/>
    </xf>
    <xf numFmtId="168" fontId="15" fillId="8" borderId="1" xfId="0" applyNumberFormat="1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49" fontId="31" fillId="6" borderId="1" xfId="0" applyNumberFormat="1" applyFont="1" applyFill="1" applyBorder="1"/>
    <xf numFmtId="0" fontId="31" fillId="6" borderId="1" xfId="0" applyFont="1" applyFill="1" applyBorder="1" applyAlignment="1">
      <alignment horizontal="center"/>
    </xf>
    <xf numFmtId="164" fontId="31" fillId="6" borderId="1" xfId="0" applyNumberFormat="1" applyFont="1" applyFill="1" applyBorder="1"/>
    <xf numFmtId="0" fontId="31" fillId="5" borderId="1" xfId="0" applyFont="1" applyFill="1" applyBorder="1" applyAlignment="1">
      <alignment horizontal="center"/>
    </xf>
    <xf numFmtId="0" fontId="32" fillId="6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7" fillId="0" borderId="2" xfId="0" applyFont="1" applyBorder="1"/>
    <xf numFmtId="164" fontId="32" fillId="6" borderId="1" xfId="0" applyNumberFormat="1" applyFont="1" applyFill="1" applyBorder="1"/>
    <xf numFmtId="0" fontId="33" fillId="6" borderId="1" xfId="0" applyFont="1" applyFill="1" applyBorder="1" applyAlignment="1">
      <alignment horizontal="center"/>
    </xf>
    <xf numFmtId="0" fontId="34" fillId="6" borderId="1" xfId="0" applyFont="1" applyFill="1" applyBorder="1" applyAlignment="1">
      <alignment horizontal="center"/>
    </xf>
    <xf numFmtId="164" fontId="31" fillId="6" borderId="1" xfId="0" applyNumberFormat="1" applyFont="1" applyFill="1" applyBorder="1" applyAlignment="1">
      <alignment horizontal="center"/>
    </xf>
    <xf numFmtId="164" fontId="32" fillId="6" borderId="1" xfId="0" applyNumberFormat="1" applyFont="1" applyFill="1" applyBorder="1" applyAlignment="1">
      <alignment horizontal="center"/>
    </xf>
    <xf numFmtId="164" fontId="33" fillId="6" borderId="1" xfId="0" applyNumberFormat="1" applyFont="1" applyFill="1" applyBorder="1" applyAlignment="1">
      <alignment horizontal="center"/>
    </xf>
    <xf numFmtId="0" fontId="7" fillId="0" borderId="10" xfId="0" applyFont="1" applyBorder="1"/>
    <xf numFmtId="0" fontId="33" fillId="22" borderId="9" xfId="0" applyFont="1" applyFill="1" applyBorder="1" applyAlignment="1">
      <alignment horizontal="center"/>
    </xf>
    <xf numFmtId="0" fontId="33" fillId="22" borderId="10" xfId="0" applyFont="1" applyFill="1" applyBorder="1" applyAlignment="1">
      <alignment horizontal="center"/>
    </xf>
    <xf numFmtId="0" fontId="33" fillId="22" borderId="11" xfId="0" applyFont="1" applyFill="1" applyBorder="1" applyAlignment="1">
      <alignment horizontal="center"/>
    </xf>
    <xf numFmtId="0" fontId="29" fillId="22" borderId="0" xfId="0" applyFont="1" applyFill="1"/>
    <xf numFmtId="0" fontId="16" fillId="11" borderId="1" xfId="0" applyFont="1" applyFill="1" applyBorder="1" applyAlignment="1">
      <alignment horizontal="center" vertical="center"/>
    </xf>
    <xf numFmtId="0" fontId="35" fillId="0" borderId="1" xfId="0" applyFont="1" applyBorder="1"/>
    <xf numFmtId="0" fontId="21" fillId="11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22" fillId="11" borderId="2" xfId="0" applyFont="1" applyFill="1" applyBorder="1" applyAlignment="1">
      <alignment horizontal="left"/>
    </xf>
    <xf numFmtId="0" fontId="22" fillId="11" borderId="3" xfId="0" applyFont="1" applyFill="1" applyBorder="1" applyAlignment="1">
      <alignment horizontal="center"/>
    </xf>
    <xf numFmtId="0" fontId="22" fillId="11" borderId="4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2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25" fillId="11" borderId="9" xfId="0" applyFont="1" applyFill="1" applyBorder="1" applyAlignment="1">
      <alignment horizontal="left"/>
    </xf>
    <xf numFmtId="0" fontId="25" fillId="11" borderId="10" xfId="0" applyFont="1" applyFill="1" applyBorder="1" applyAlignment="1">
      <alignment horizontal="left"/>
    </xf>
    <xf numFmtId="0" fontId="25" fillId="11" borderId="11" xfId="0" applyFont="1" applyFill="1" applyBorder="1" applyAlignment="1">
      <alignment horizontal="left"/>
    </xf>
    <xf numFmtId="0" fontId="25" fillId="11" borderId="12" xfId="0" applyFont="1" applyFill="1" applyBorder="1" applyAlignment="1">
      <alignment horizontal="left"/>
    </xf>
    <xf numFmtId="0" fontId="25" fillId="11" borderId="13" xfId="0" applyFont="1" applyFill="1" applyBorder="1" applyAlignment="1">
      <alignment horizontal="left"/>
    </xf>
    <xf numFmtId="0" fontId="25" fillId="11" borderId="14" xfId="0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164" fontId="7" fillId="0" borderId="0" xfId="0" applyNumberFormat="1" applyFont="1"/>
    <xf numFmtId="0" fontId="15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6" fillId="0" borderId="6" xfId="0" applyFont="1" applyBorder="1"/>
    <xf numFmtId="0" fontId="2" fillId="3" borderId="0" xfId="0" applyFont="1" applyFill="1" applyAlignment="1">
      <alignment horizontal="center"/>
    </xf>
    <xf numFmtId="0" fontId="0" fillId="0" borderId="0" xfId="0"/>
    <xf numFmtId="0" fontId="4" fillId="6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14" fontId="8" fillId="7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6" fillId="0" borderId="7" xfId="0" applyFont="1" applyBorder="1"/>
    <xf numFmtId="0" fontId="21" fillId="0" borderId="0" xfId="0" applyFont="1" applyAlignment="1">
      <alignment horizontal="center"/>
    </xf>
    <xf numFmtId="0" fontId="25" fillId="11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10" fillId="6" borderId="0" xfId="0" applyFont="1" applyFill="1" applyAlignment="1">
      <alignment horizontal="center" vertical="center"/>
    </xf>
    <xf numFmtId="0" fontId="14" fillId="0" borderId="0" xfId="0" applyFont="1"/>
    <xf numFmtId="0" fontId="13" fillId="6" borderId="0" xfId="0" applyFont="1" applyFill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29" fillId="21" borderId="2" xfId="0" applyFont="1" applyFill="1" applyBorder="1" applyAlignment="1">
      <alignment horizontal="center"/>
    </xf>
    <xf numFmtId="0" fontId="6" fillId="20" borderId="3" xfId="0" applyFont="1" applyFill="1" applyBorder="1"/>
    <xf numFmtId="0" fontId="6" fillId="20" borderId="4" xfId="0" applyFont="1" applyFill="1" applyBorder="1"/>
    <xf numFmtId="0" fontId="27" fillId="21" borderId="5" xfId="0" applyFont="1" applyFill="1" applyBorder="1" applyAlignment="1">
      <alignment horizontal="center" vertical="center"/>
    </xf>
    <xf numFmtId="0" fontId="6" fillId="6" borderId="6" xfId="0" applyFont="1" applyFill="1" applyBorder="1"/>
    <xf numFmtId="0" fontId="26" fillId="0" borderId="0" xfId="0" applyFont="1" applyAlignment="1">
      <alignment horizontal="center" vertical="center"/>
    </xf>
    <xf numFmtId="0" fontId="27" fillId="13" borderId="5" xfId="0" applyFont="1" applyFill="1" applyBorder="1" applyAlignment="1">
      <alignment horizontal="center"/>
    </xf>
    <xf numFmtId="0" fontId="28" fillId="13" borderId="2" xfId="0" applyFont="1" applyFill="1" applyBorder="1" applyAlignment="1">
      <alignment horizontal="center"/>
    </xf>
    <xf numFmtId="0" fontId="27" fillId="13" borderId="5" xfId="0" applyFont="1" applyFill="1" applyBorder="1" applyAlignment="1">
      <alignment horizontal="center" vertical="center"/>
    </xf>
    <xf numFmtId="0" fontId="14" fillId="0" borderId="2" xfId="0" applyFont="1" applyBorder="1"/>
    <xf numFmtId="0" fontId="21" fillId="11" borderId="2" xfId="0" applyFont="1" applyFill="1" applyBorder="1"/>
    <xf numFmtId="0" fontId="27" fillId="21" borderId="5" xfId="0" applyFont="1" applyFill="1" applyBorder="1" applyAlignment="1">
      <alignment horizontal="center"/>
    </xf>
    <xf numFmtId="0" fontId="29" fillId="22" borderId="15" xfId="0" applyFont="1" applyFill="1" applyBorder="1"/>
    <xf numFmtId="0" fontId="29" fillId="22" borderId="8" xfId="0" applyFont="1" applyFill="1" applyBorder="1" applyAlignment="1">
      <alignment horizontal="center"/>
    </xf>
    <xf numFmtId="0" fontId="29" fillId="22" borderId="0" xfId="0" applyFont="1" applyFill="1" applyAlignment="1">
      <alignment horizontal="center"/>
    </xf>
    <xf numFmtId="0" fontId="6" fillId="0" borderId="8" xfId="0" applyFont="1" applyBorder="1"/>
    <xf numFmtId="0" fontId="16" fillId="11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2"/>
  <sheetViews>
    <sheetView tabSelected="1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6640625" defaultRowHeight="15.75" customHeight="1"/>
  <cols>
    <col min="1" max="1" width="5.109375" customWidth="1"/>
    <col min="2" max="2" width="19.88671875" customWidth="1"/>
    <col min="3" max="3" width="34.44140625" customWidth="1"/>
    <col min="4" max="5" width="32" bestFit="1" customWidth="1"/>
    <col min="6" max="6" width="28.88671875" customWidth="1"/>
    <col min="7" max="10" width="28.21875" customWidth="1"/>
    <col min="11" max="11" width="20" customWidth="1"/>
    <col min="12" max="17" width="23.33203125" customWidth="1"/>
    <col min="27" max="27" width="6.33203125" customWidth="1"/>
    <col min="28" max="28" width="16.88671875" customWidth="1"/>
    <col min="29" max="29" width="15" customWidth="1"/>
  </cols>
  <sheetData>
    <row r="1" spans="1:30" ht="15.6">
      <c r="A1" s="1"/>
      <c r="B1" s="1"/>
      <c r="C1" s="2"/>
      <c r="D1" s="183" t="s">
        <v>0</v>
      </c>
      <c r="E1" s="184"/>
      <c r="F1" s="184"/>
      <c r="G1" s="184"/>
      <c r="H1" s="184"/>
      <c r="I1" s="184"/>
      <c r="J1" s="184"/>
      <c r="K1" s="185" t="s">
        <v>3</v>
      </c>
      <c r="L1" s="186"/>
      <c r="M1" s="186"/>
      <c r="N1" s="186"/>
      <c r="O1" s="186"/>
      <c r="P1" s="186"/>
      <c r="Q1" s="187"/>
      <c r="R1" s="8"/>
      <c r="S1" s="185" t="s">
        <v>5</v>
      </c>
      <c r="T1" s="186"/>
      <c r="U1" s="186"/>
      <c r="V1" s="186"/>
      <c r="W1" s="186"/>
      <c r="X1" s="186"/>
      <c r="Y1" s="186"/>
      <c r="Z1" s="187"/>
      <c r="AB1" s="188">
        <f ca="1">TODAY()</f>
        <v>46297</v>
      </c>
      <c r="AC1" s="184"/>
      <c r="AD1" s="184"/>
    </row>
    <row r="2" spans="1:30" ht="13.2">
      <c r="A2" s="189" t="s">
        <v>6</v>
      </c>
      <c r="B2" s="189" t="s">
        <v>7</v>
      </c>
      <c r="C2" s="190" t="s">
        <v>8</v>
      </c>
      <c r="D2" s="192" t="s">
        <v>9</v>
      </c>
      <c r="E2" s="192" t="s">
        <v>11</v>
      </c>
      <c r="F2" s="192" t="s">
        <v>15</v>
      </c>
      <c r="G2" s="192" t="s">
        <v>16</v>
      </c>
      <c r="H2" s="193" t="s">
        <v>17</v>
      </c>
      <c r="I2" s="193" t="s">
        <v>18</v>
      </c>
      <c r="J2" s="192" t="s">
        <v>19</v>
      </c>
      <c r="K2" s="181" t="s">
        <v>9</v>
      </c>
      <c r="L2" s="181" t="s">
        <v>11</v>
      </c>
      <c r="M2" s="181" t="s">
        <v>15</v>
      </c>
      <c r="N2" s="181" t="s">
        <v>16</v>
      </c>
      <c r="O2" s="181" t="s">
        <v>18</v>
      </c>
      <c r="P2" s="181" t="s">
        <v>19</v>
      </c>
      <c r="Q2" s="181" t="s">
        <v>17</v>
      </c>
      <c r="R2" s="181"/>
      <c r="S2" s="181" t="s">
        <v>10</v>
      </c>
      <c r="T2" s="181" t="s">
        <v>13</v>
      </c>
      <c r="U2" s="181" t="s">
        <v>23</v>
      </c>
      <c r="V2" s="181" t="s">
        <v>24</v>
      </c>
      <c r="W2" s="181" t="s">
        <v>25</v>
      </c>
      <c r="X2" s="181" t="s">
        <v>27</v>
      </c>
      <c r="Y2" s="181" t="s">
        <v>22</v>
      </c>
      <c r="Z2" s="191" t="s">
        <v>28</v>
      </c>
    </row>
    <row r="3" spans="1:30" ht="13.2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 spans="1:30" ht="17.399999999999999">
      <c r="A4" s="3">
        <f t="shared" ref="A4:A86" si="0">A3+1</f>
        <v>1</v>
      </c>
      <c r="B4" s="3" t="s">
        <v>30</v>
      </c>
      <c r="C4" s="23" t="s">
        <v>32</v>
      </c>
      <c r="D4" s="24">
        <v>46254</v>
      </c>
      <c r="E4" s="24">
        <v>46254</v>
      </c>
      <c r="F4" s="26"/>
      <c r="G4" s="28"/>
      <c r="H4" s="28">
        <v>46292</v>
      </c>
      <c r="I4" s="28"/>
      <c r="J4" s="28">
        <v>46292</v>
      </c>
      <c r="K4" s="32">
        <f t="shared" ref="K4:N4" ca="1" si="1">IF(OR($AB$1="",D4=""),"",D4-$AB$1)</f>
        <v>-43</v>
      </c>
      <c r="L4" s="32">
        <f t="shared" ca="1" si="1"/>
        <v>-43</v>
      </c>
      <c r="M4" s="32" t="str">
        <f t="shared" ca="1" si="1"/>
        <v/>
      </c>
      <c r="N4" s="32" t="str">
        <f t="shared" ca="1" si="1"/>
        <v/>
      </c>
      <c r="O4" s="32" t="str">
        <f t="shared" ref="O4:P4" ca="1" si="2">IF(OR($AB$1="",I4=""),"",I4-$AB$1)</f>
        <v/>
      </c>
      <c r="P4" s="32">
        <f t="shared" ca="1" si="2"/>
        <v>-5</v>
      </c>
      <c r="Q4" s="32">
        <f t="shared" ref="Q4:Q86" ca="1" si="3">IF(OR($AB$1="",J4=""),"",J4-$AB$1)</f>
        <v>-5</v>
      </c>
      <c r="R4" s="194"/>
      <c r="S4" s="33">
        <f t="shared" ref="S4:U4" ca="1" si="4">COUNTIF(K4, "&lt;30")</f>
        <v>1</v>
      </c>
      <c r="T4" s="33">
        <f t="shared" ca="1" si="4"/>
        <v>1</v>
      </c>
      <c r="U4" s="33">
        <f t="shared" ca="1" si="4"/>
        <v>0</v>
      </c>
      <c r="V4" s="33"/>
      <c r="W4" s="33"/>
      <c r="X4" s="33">
        <f t="shared" ref="X4:Y4" ca="1" si="5">COUNTIF(P4, "&lt;30")</f>
        <v>1</v>
      </c>
      <c r="Y4" s="33">
        <f t="shared" ca="1" si="5"/>
        <v>1</v>
      </c>
      <c r="Z4" s="34">
        <f t="shared" ref="Z4:Z42" ca="1" si="6">COUNTIF(S4:Y4, "&gt;0")</f>
        <v>4</v>
      </c>
    </row>
    <row r="5" spans="1:30" ht="17.399999999999999">
      <c r="A5" s="3">
        <f t="shared" si="0"/>
        <v>2</v>
      </c>
      <c r="B5" s="3" t="s">
        <v>35</v>
      </c>
      <c r="C5" s="23" t="s">
        <v>32</v>
      </c>
      <c r="D5" s="28">
        <v>46292</v>
      </c>
      <c r="E5" s="28">
        <v>46292</v>
      </c>
      <c r="F5" s="28">
        <v>46325</v>
      </c>
      <c r="G5" s="28"/>
      <c r="H5" s="35"/>
      <c r="I5" s="28"/>
      <c r="J5" s="28">
        <v>46325</v>
      </c>
      <c r="K5" s="32">
        <f t="shared" ref="K5:N5" ca="1" si="7">IF(OR($AB$1="",D5=""),"",D5-$AB$1)</f>
        <v>-5</v>
      </c>
      <c r="L5" s="32">
        <f t="shared" ca="1" si="7"/>
        <v>-5</v>
      </c>
      <c r="M5" s="32">
        <f t="shared" ca="1" si="7"/>
        <v>28</v>
      </c>
      <c r="N5" s="32" t="str">
        <f t="shared" ca="1" si="7"/>
        <v/>
      </c>
      <c r="O5" s="32" t="str">
        <f t="shared" ref="O5:P5" ca="1" si="8">IF(OR($AB$1="",I5=""),"",I5-$AB$1)</f>
        <v/>
      </c>
      <c r="P5" s="32">
        <f t="shared" ca="1" si="8"/>
        <v>28</v>
      </c>
      <c r="Q5" s="32">
        <f t="shared" ca="1" si="3"/>
        <v>28</v>
      </c>
      <c r="R5" s="195"/>
      <c r="S5" s="33">
        <f t="shared" ref="S5:U5" ca="1" si="9">COUNTIF(K5, "&lt;30")</f>
        <v>1</v>
      </c>
      <c r="T5" s="33">
        <f t="shared" ca="1" si="9"/>
        <v>1</v>
      </c>
      <c r="U5" s="33">
        <f t="shared" ca="1" si="9"/>
        <v>1</v>
      </c>
      <c r="V5" s="33"/>
      <c r="W5" s="33"/>
      <c r="X5" s="33">
        <f t="shared" ref="X5:Y5" ca="1" si="10">COUNTIF(P5, "&lt;30")</f>
        <v>1</v>
      </c>
      <c r="Y5" s="33">
        <f t="shared" ca="1" si="10"/>
        <v>1</v>
      </c>
      <c r="Z5" s="34">
        <f t="shared" ca="1" si="6"/>
        <v>5</v>
      </c>
    </row>
    <row r="6" spans="1:30" ht="17.399999999999999">
      <c r="A6" s="3">
        <f t="shared" si="0"/>
        <v>3</v>
      </c>
      <c r="B6" s="36" t="s">
        <v>29</v>
      </c>
      <c r="C6" s="23" t="s">
        <v>37</v>
      </c>
      <c r="D6" s="24"/>
      <c r="E6" s="24"/>
      <c r="F6" s="24">
        <v>46254</v>
      </c>
      <c r="G6" s="24">
        <v>46254</v>
      </c>
      <c r="H6" s="37"/>
      <c r="I6" s="24">
        <v>46254</v>
      </c>
      <c r="J6" s="24">
        <v>46352</v>
      </c>
      <c r="K6" s="32" t="str">
        <f t="shared" ref="K6:N6" ca="1" si="11">IF(OR($AB$1="",D6=""),"",D6-$AB$1)</f>
        <v/>
      </c>
      <c r="L6" s="32" t="str">
        <f t="shared" ca="1" si="11"/>
        <v/>
      </c>
      <c r="M6" s="32">
        <f t="shared" ca="1" si="11"/>
        <v>-43</v>
      </c>
      <c r="N6" s="32">
        <f t="shared" ca="1" si="11"/>
        <v>-43</v>
      </c>
      <c r="O6" s="32">
        <f t="shared" ref="O6:P6" ca="1" si="12">IF(OR($AB$1="",I6=""),"",I6-$AB$1)</f>
        <v>-43</v>
      </c>
      <c r="P6" s="32">
        <f t="shared" ca="1" si="12"/>
        <v>55</v>
      </c>
      <c r="Q6" s="32">
        <f t="shared" ca="1" si="3"/>
        <v>55</v>
      </c>
      <c r="R6" s="195"/>
      <c r="S6" s="33">
        <f t="shared" ref="S6:U6" ca="1" si="13">COUNTIF(K6, "&lt;30")</f>
        <v>0</v>
      </c>
      <c r="T6" s="33">
        <f t="shared" ca="1" si="13"/>
        <v>0</v>
      </c>
      <c r="U6" s="33">
        <f t="shared" ca="1" si="13"/>
        <v>1</v>
      </c>
      <c r="V6" s="33"/>
      <c r="W6" s="33"/>
      <c r="X6" s="33">
        <f t="shared" ref="X6:Y6" ca="1" si="14">COUNTIF(P6, "&lt;30")</f>
        <v>0</v>
      </c>
      <c r="Y6" s="33">
        <f t="shared" ca="1" si="14"/>
        <v>0</v>
      </c>
      <c r="Z6" s="34">
        <f t="shared" ca="1" si="6"/>
        <v>1</v>
      </c>
      <c r="AA6" s="38"/>
      <c r="AB6" s="38"/>
      <c r="AC6" s="38"/>
    </row>
    <row r="7" spans="1:30" ht="17.399999999999999">
      <c r="A7" s="3">
        <f t="shared" si="0"/>
        <v>4</v>
      </c>
      <c r="B7" s="36" t="s">
        <v>40</v>
      </c>
      <c r="C7" s="23" t="s">
        <v>37</v>
      </c>
      <c r="D7" s="28"/>
      <c r="E7" s="28"/>
      <c r="F7" s="24">
        <v>46352</v>
      </c>
      <c r="G7" s="28">
        <v>46418</v>
      </c>
      <c r="H7" s="35"/>
      <c r="I7" s="28">
        <v>46418</v>
      </c>
      <c r="J7" s="28">
        <v>46418</v>
      </c>
      <c r="K7" s="32" t="str">
        <f t="shared" ref="K7:N7" ca="1" si="15">IF(OR($AB$1="",D7=""),"",D7-$AB$1)</f>
        <v/>
      </c>
      <c r="L7" s="32" t="str">
        <f t="shared" ca="1" si="15"/>
        <v/>
      </c>
      <c r="M7" s="32">
        <f t="shared" ca="1" si="15"/>
        <v>55</v>
      </c>
      <c r="N7" s="32">
        <f t="shared" ca="1" si="15"/>
        <v>121</v>
      </c>
      <c r="O7" s="32">
        <f t="shared" ref="O7:P7" ca="1" si="16">IF(OR($AB$1="",I7=""),"",I7-$AB$1)</f>
        <v>121</v>
      </c>
      <c r="P7" s="32">
        <f t="shared" ca="1" si="16"/>
        <v>121</v>
      </c>
      <c r="Q7" s="32">
        <f t="shared" ca="1" si="3"/>
        <v>121</v>
      </c>
      <c r="R7" s="195"/>
      <c r="S7" s="33">
        <f t="shared" ref="S7:U7" ca="1" si="17">COUNTIF(K7, "&lt;30")</f>
        <v>0</v>
      </c>
      <c r="T7" s="33">
        <f t="shared" ca="1" si="17"/>
        <v>0</v>
      </c>
      <c r="U7" s="33">
        <f t="shared" ca="1" si="17"/>
        <v>0</v>
      </c>
      <c r="V7" s="33"/>
      <c r="W7" s="33"/>
      <c r="X7" s="33">
        <f t="shared" ref="X7:Y7" ca="1" si="18">COUNTIF(P7, "&lt;30")</f>
        <v>0</v>
      </c>
      <c r="Y7" s="33">
        <f t="shared" ca="1" si="18"/>
        <v>0</v>
      </c>
      <c r="Z7" s="34">
        <f t="shared" ca="1" si="6"/>
        <v>0</v>
      </c>
      <c r="AA7" s="39"/>
      <c r="AB7" s="39"/>
      <c r="AC7" s="39"/>
    </row>
    <row r="8" spans="1:30" ht="17.399999999999999">
      <c r="A8" s="3">
        <f t="shared" si="0"/>
        <v>5</v>
      </c>
      <c r="B8" s="3" t="s">
        <v>42</v>
      </c>
      <c r="C8" s="23" t="s">
        <v>2</v>
      </c>
      <c r="D8" s="40">
        <v>46283</v>
      </c>
      <c r="E8" s="40">
        <v>46283</v>
      </c>
      <c r="F8" s="28"/>
      <c r="G8" s="41"/>
      <c r="H8" s="42">
        <v>46376</v>
      </c>
      <c r="I8" s="28"/>
      <c r="J8" s="28">
        <v>46292</v>
      </c>
      <c r="K8" s="32">
        <f t="shared" ref="K8:N8" ca="1" si="19">IF(OR($AB$1="",D8=""),"",D8-$AB$1)</f>
        <v>-14</v>
      </c>
      <c r="L8" s="32">
        <f t="shared" ca="1" si="19"/>
        <v>-14</v>
      </c>
      <c r="M8" s="32" t="str">
        <f t="shared" ca="1" si="19"/>
        <v/>
      </c>
      <c r="N8" s="32" t="str">
        <f t="shared" ca="1" si="19"/>
        <v/>
      </c>
      <c r="O8" s="32" t="str">
        <f t="shared" ref="O8:P8" ca="1" si="20">IF(OR($AB$1="",I8=""),"",I8-$AB$1)</f>
        <v/>
      </c>
      <c r="P8" s="32">
        <f t="shared" ca="1" si="20"/>
        <v>-5</v>
      </c>
      <c r="Q8" s="32">
        <f t="shared" ca="1" si="3"/>
        <v>-5</v>
      </c>
      <c r="R8" s="195"/>
      <c r="S8" s="33">
        <f t="shared" ref="S8:U8" ca="1" si="21">COUNTIF(K8, "&lt;30")</f>
        <v>1</v>
      </c>
      <c r="T8" s="33">
        <f t="shared" ca="1" si="21"/>
        <v>1</v>
      </c>
      <c r="U8" s="33">
        <f t="shared" ca="1" si="21"/>
        <v>0</v>
      </c>
      <c r="V8" s="33"/>
      <c r="W8" s="33"/>
      <c r="X8" s="33">
        <f t="shared" ref="X8:Y8" ca="1" si="22">COUNTIF(P8, "&lt;30")</f>
        <v>1</v>
      </c>
      <c r="Y8" s="33">
        <f t="shared" ca="1" si="22"/>
        <v>1</v>
      </c>
      <c r="Z8" s="34">
        <f t="shared" ca="1" si="6"/>
        <v>4</v>
      </c>
      <c r="AA8" s="43"/>
      <c r="AB8" s="44"/>
      <c r="AC8" s="43"/>
    </row>
    <row r="9" spans="1:30" ht="17.399999999999999">
      <c r="A9" s="3">
        <f t="shared" si="0"/>
        <v>6</v>
      </c>
      <c r="B9" s="3" t="s">
        <v>44</v>
      </c>
      <c r="C9" s="23" t="s">
        <v>45</v>
      </c>
      <c r="D9" s="28">
        <v>46292</v>
      </c>
      <c r="E9" s="28">
        <v>46292</v>
      </c>
      <c r="F9" s="28"/>
      <c r="G9" s="28"/>
      <c r="H9" s="31">
        <v>46254</v>
      </c>
      <c r="I9" s="28"/>
      <c r="J9" s="28">
        <v>46325</v>
      </c>
      <c r="K9" s="32">
        <f t="shared" ref="K9:N9" ca="1" si="23">IF(OR($AB$1="",D9=""),"",D9-$AB$1)</f>
        <v>-5</v>
      </c>
      <c r="L9" s="32">
        <f t="shared" ca="1" si="23"/>
        <v>-5</v>
      </c>
      <c r="M9" s="32" t="str">
        <f t="shared" ca="1" si="23"/>
        <v/>
      </c>
      <c r="N9" s="32" t="str">
        <f t="shared" ca="1" si="23"/>
        <v/>
      </c>
      <c r="O9" s="32" t="str">
        <f t="shared" ref="O9:P9" ca="1" si="24">IF(OR($AB$1="",I9=""),"",I9-$AB$1)</f>
        <v/>
      </c>
      <c r="P9" s="32">
        <f t="shared" ca="1" si="24"/>
        <v>28</v>
      </c>
      <c r="Q9" s="32">
        <f t="shared" ca="1" si="3"/>
        <v>28</v>
      </c>
      <c r="R9" s="195"/>
      <c r="S9" s="33">
        <f t="shared" ref="S9:U9" ca="1" si="25">COUNTIF(K9, "&lt;30")</f>
        <v>1</v>
      </c>
      <c r="T9" s="33">
        <f t="shared" ca="1" si="25"/>
        <v>1</v>
      </c>
      <c r="U9" s="33">
        <f t="shared" ca="1" si="25"/>
        <v>0</v>
      </c>
      <c r="V9" s="33"/>
      <c r="W9" s="33"/>
      <c r="X9" s="33">
        <f t="shared" ref="X9:Y9" ca="1" si="26">COUNTIF(P9, "&lt;30")</f>
        <v>1</v>
      </c>
      <c r="Y9" s="33">
        <f t="shared" ca="1" si="26"/>
        <v>1</v>
      </c>
      <c r="Z9" s="34">
        <f t="shared" ca="1" si="6"/>
        <v>4</v>
      </c>
      <c r="AA9" s="43"/>
      <c r="AB9" s="44"/>
      <c r="AC9" s="43"/>
    </row>
    <row r="10" spans="1:30" ht="17.399999999999999">
      <c r="A10" s="3">
        <f t="shared" si="0"/>
        <v>7</v>
      </c>
      <c r="B10" s="3" t="s">
        <v>47</v>
      </c>
      <c r="C10" s="23" t="s">
        <v>2</v>
      </c>
      <c r="D10" s="41"/>
      <c r="E10" s="28"/>
      <c r="F10" s="28">
        <v>46292</v>
      </c>
      <c r="G10" s="28"/>
      <c r="H10" s="28">
        <v>46292</v>
      </c>
      <c r="I10" s="28">
        <v>46292</v>
      </c>
      <c r="J10" s="28">
        <v>46292</v>
      </c>
      <c r="K10" s="32" t="str">
        <f t="shared" ref="K10:N10" ca="1" si="27">IF(OR($AB$1="",D10=""),"",D10-$AB$1)</f>
        <v/>
      </c>
      <c r="L10" s="32" t="str">
        <f t="shared" ca="1" si="27"/>
        <v/>
      </c>
      <c r="M10" s="32">
        <f t="shared" ca="1" si="27"/>
        <v>-5</v>
      </c>
      <c r="N10" s="32" t="str">
        <f t="shared" ca="1" si="27"/>
        <v/>
      </c>
      <c r="O10" s="32">
        <f t="shared" ref="O10:P10" ca="1" si="28">IF(OR($AB$1="",I10=""),"",I10-$AB$1)</f>
        <v>-5</v>
      </c>
      <c r="P10" s="32">
        <f t="shared" ca="1" si="28"/>
        <v>-5</v>
      </c>
      <c r="Q10" s="32">
        <f t="shared" ca="1" si="3"/>
        <v>-5</v>
      </c>
      <c r="R10" s="195"/>
      <c r="S10" s="33">
        <f t="shared" ref="S10:U10" ca="1" si="29">COUNTIF(K10, "&lt;30")</f>
        <v>0</v>
      </c>
      <c r="T10" s="33">
        <f t="shared" ca="1" si="29"/>
        <v>0</v>
      </c>
      <c r="U10" s="33">
        <f t="shared" ca="1" si="29"/>
        <v>1</v>
      </c>
      <c r="V10" s="33"/>
      <c r="W10" s="33"/>
      <c r="X10" s="33">
        <f t="shared" ref="X10:Y10" ca="1" si="30">COUNTIF(P10, "&lt;30")</f>
        <v>1</v>
      </c>
      <c r="Y10" s="33">
        <f t="shared" ca="1" si="30"/>
        <v>1</v>
      </c>
      <c r="Z10" s="34">
        <f t="shared" ca="1" si="6"/>
        <v>3</v>
      </c>
      <c r="AA10" s="43"/>
      <c r="AB10" s="44"/>
      <c r="AC10" s="43"/>
    </row>
    <row r="11" spans="1:30" ht="17.399999999999999">
      <c r="A11" s="3">
        <f t="shared" si="0"/>
        <v>8</v>
      </c>
      <c r="B11" s="45" t="s">
        <v>49</v>
      </c>
      <c r="C11" s="23" t="s">
        <v>2</v>
      </c>
      <c r="D11" s="41"/>
      <c r="E11" s="41"/>
      <c r="F11" s="28">
        <v>46292</v>
      </c>
      <c r="G11" s="28">
        <v>46292</v>
      </c>
      <c r="H11" s="35"/>
      <c r="I11" s="28">
        <v>46292</v>
      </c>
      <c r="J11" s="28">
        <v>46292</v>
      </c>
      <c r="K11" s="32" t="str">
        <f t="shared" ref="K11:N11" ca="1" si="31">IF(OR($AB$1="",D11=""),"",D11-$AB$1)</f>
        <v/>
      </c>
      <c r="L11" s="32" t="str">
        <f t="shared" ca="1" si="31"/>
        <v/>
      </c>
      <c r="M11" s="32">
        <f t="shared" ca="1" si="31"/>
        <v>-5</v>
      </c>
      <c r="N11" s="32">
        <f t="shared" ca="1" si="31"/>
        <v>-5</v>
      </c>
      <c r="O11" s="32">
        <f t="shared" ref="O11:P11" ca="1" si="32">IF(OR($AB$1="",I11=""),"",I11-$AB$1)</f>
        <v>-5</v>
      </c>
      <c r="P11" s="32">
        <f t="shared" ca="1" si="32"/>
        <v>-5</v>
      </c>
      <c r="Q11" s="32">
        <f t="shared" ca="1" si="3"/>
        <v>-5</v>
      </c>
      <c r="R11" s="195"/>
      <c r="S11" s="33">
        <f t="shared" ref="S11:U11" ca="1" si="33">COUNTIF(K11, "&lt;30")</f>
        <v>0</v>
      </c>
      <c r="T11" s="33">
        <f t="shared" ca="1" si="33"/>
        <v>0</v>
      </c>
      <c r="U11" s="33">
        <f t="shared" ca="1" si="33"/>
        <v>1</v>
      </c>
      <c r="V11" s="33"/>
      <c r="W11" s="33"/>
      <c r="X11" s="33">
        <f t="shared" ref="X11:Y11" ca="1" si="34">COUNTIF(P11, "&lt;30")</f>
        <v>1</v>
      </c>
      <c r="Y11" s="33">
        <f t="shared" ca="1" si="34"/>
        <v>1</v>
      </c>
      <c r="Z11" s="34">
        <f t="shared" ca="1" si="6"/>
        <v>3</v>
      </c>
      <c r="AA11" s="43"/>
      <c r="AB11" s="44"/>
      <c r="AC11" s="43"/>
    </row>
    <row r="12" spans="1:30" ht="17.399999999999999">
      <c r="A12" s="3">
        <f t="shared" si="0"/>
        <v>9</v>
      </c>
      <c r="B12" s="3" t="s">
        <v>51</v>
      </c>
      <c r="C12" s="23" t="s">
        <v>2</v>
      </c>
      <c r="D12" s="28">
        <v>46446</v>
      </c>
      <c r="E12" s="28">
        <v>46446</v>
      </c>
      <c r="F12" s="28"/>
      <c r="G12" s="40"/>
      <c r="H12" s="28">
        <v>46470</v>
      </c>
      <c r="I12" s="40"/>
      <c r="J12" s="28">
        <v>46470</v>
      </c>
      <c r="K12" s="32">
        <f t="shared" ref="K12:N12" ca="1" si="35">IF(OR($AB$1="",D12=""),"",D12-$AB$1)</f>
        <v>149</v>
      </c>
      <c r="L12" s="32">
        <f t="shared" ca="1" si="35"/>
        <v>149</v>
      </c>
      <c r="M12" s="32" t="str">
        <f t="shared" ca="1" si="35"/>
        <v/>
      </c>
      <c r="N12" s="32" t="str">
        <f t="shared" ca="1" si="35"/>
        <v/>
      </c>
      <c r="O12" s="32" t="str">
        <f t="shared" ref="O12:P12" ca="1" si="36">IF(OR($AB$1="",I12=""),"",I12-$AB$1)</f>
        <v/>
      </c>
      <c r="P12" s="32">
        <f t="shared" ca="1" si="36"/>
        <v>173</v>
      </c>
      <c r="Q12" s="32">
        <f t="shared" ca="1" si="3"/>
        <v>173</v>
      </c>
      <c r="R12" s="195"/>
      <c r="S12" s="33">
        <f t="shared" ref="S12:U12" ca="1" si="37">COUNTIF(K12, "&lt;30")</f>
        <v>0</v>
      </c>
      <c r="T12" s="33">
        <f t="shared" ca="1" si="37"/>
        <v>0</v>
      </c>
      <c r="U12" s="33">
        <f t="shared" ca="1" si="37"/>
        <v>0</v>
      </c>
      <c r="V12" s="33"/>
      <c r="W12" s="33"/>
      <c r="X12" s="33">
        <f t="shared" ref="X12:Y12" ca="1" si="38">COUNTIF(P12, "&lt;30")</f>
        <v>0</v>
      </c>
      <c r="Y12" s="33">
        <f t="shared" ca="1" si="38"/>
        <v>0</v>
      </c>
      <c r="Z12" s="34">
        <f t="shared" ca="1" si="6"/>
        <v>0</v>
      </c>
      <c r="AA12" s="43"/>
      <c r="AB12" s="44"/>
      <c r="AC12" s="43"/>
    </row>
    <row r="13" spans="1:30" ht="17.399999999999999">
      <c r="A13" s="3">
        <f t="shared" si="0"/>
        <v>10</v>
      </c>
      <c r="B13" s="3" t="s">
        <v>53</v>
      </c>
      <c r="C13" s="23" t="s">
        <v>54</v>
      </c>
      <c r="D13" s="28">
        <v>46292</v>
      </c>
      <c r="E13" s="28">
        <v>46292</v>
      </c>
      <c r="F13" s="41"/>
      <c r="G13" s="28"/>
      <c r="H13" s="28">
        <v>46292</v>
      </c>
      <c r="I13" s="28"/>
      <c r="J13" s="28">
        <v>46292</v>
      </c>
      <c r="K13" s="32">
        <f t="shared" ref="K13:N13" ca="1" si="39">IF(OR($AB$1="",D13=""),"",D13-$AB$1)</f>
        <v>-5</v>
      </c>
      <c r="L13" s="32">
        <f t="shared" ca="1" si="39"/>
        <v>-5</v>
      </c>
      <c r="M13" s="32" t="str">
        <f t="shared" ca="1" si="39"/>
        <v/>
      </c>
      <c r="N13" s="32" t="str">
        <f t="shared" ca="1" si="39"/>
        <v/>
      </c>
      <c r="O13" s="32" t="str">
        <f t="shared" ref="O13:P13" ca="1" si="40">IF(OR($AB$1="",I13=""),"",I13-$AB$1)</f>
        <v/>
      </c>
      <c r="P13" s="32">
        <f t="shared" ca="1" si="40"/>
        <v>-5</v>
      </c>
      <c r="Q13" s="32">
        <f t="shared" ca="1" si="3"/>
        <v>-5</v>
      </c>
      <c r="R13" s="195"/>
      <c r="S13" s="33">
        <f t="shared" ref="S13:U13" ca="1" si="41">COUNTIF(K13, "&lt;30")</f>
        <v>1</v>
      </c>
      <c r="T13" s="33">
        <f t="shared" ca="1" si="41"/>
        <v>1</v>
      </c>
      <c r="U13" s="33">
        <f t="shared" ca="1" si="41"/>
        <v>0</v>
      </c>
      <c r="V13" s="33"/>
      <c r="W13" s="33"/>
      <c r="X13" s="33">
        <f t="shared" ref="X13:Y13" ca="1" si="42">COUNTIF(P13, "&lt;30")</f>
        <v>1</v>
      </c>
      <c r="Y13" s="33">
        <f t="shared" ca="1" si="42"/>
        <v>1</v>
      </c>
      <c r="Z13" s="34">
        <f t="shared" ca="1" si="6"/>
        <v>4</v>
      </c>
      <c r="AA13" s="46"/>
      <c r="AB13" s="46"/>
      <c r="AC13" s="43"/>
      <c r="AD13" s="47"/>
    </row>
    <row r="14" spans="1:30" ht="17.399999999999999">
      <c r="A14" s="3">
        <f t="shared" si="0"/>
        <v>11</v>
      </c>
      <c r="B14" s="3" t="s">
        <v>56</v>
      </c>
      <c r="C14" s="23" t="s">
        <v>54</v>
      </c>
      <c r="D14" s="42">
        <v>46376</v>
      </c>
      <c r="E14" s="42">
        <v>46376</v>
      </c>
      <c r="F14" s="28"/>
      <c r="G14" s="42"/>
      <c r="H14" s="48">
        <v>46053</v>
      </c>
      <c r="I14" s="42"/>
      <c r="J14" s="42">
        <v>46376</v>
      </c>
      <c r="K14" s="32">
        <f t="shared" ref="K14:N14" ca="1" si="43">IF(OR($AB$1="",D14=""),"",D14-$AB$1)</f>
        <v>79</v>
      </c>
      <c r="L14" s="32">
        <f t="shared" ca="1" si="43"/>
        <v>79</v>
      </c>
      <c r="M14" s="32" t="str">
        <f t="shared" ca="1" si="43"/>
        <v/>
      </c>
      <c r="N14" s="32" t="str">
        <f t="shared" ca="1" si="43"/>
        <v/>
      </c>
      <c r="O14" s="32" t="str">
        <f t="shared" ref="O14:P14" ca="1" si="44">IF(OR($AB$1="",I14=""),"",I14-$AB$1)</f>
        <v/>
      </c>
      <c r="P14" s="32">
        <f t="shared" ca="1" si="44"/>
        <v>79</v>
      </c>
      <c r="Q14" s="32">
        <f t="shared" ca="1" si="3"/>
        <v>79</v>
      </c>
      <c r="R14" s="195"/>
      <c r="S14" s="33">
        <f t="shared" ref="S14:U14" ca="1" si="45">COUNTIF(K14, "&lt;30")</f>
        <v>0</v>
      </c>
      <c r="T14" s="33">
        <f t="shared" ca="1" si="45"/>
        <v>0</v>
      </c>
      <c r="U14" s="33">
        <f t="shared" ca="1" si="45"/>
        <v>0</v>
      </c>
      <c r="V14" s="33"/>
      <c r="W14" s="33"/>
      <c r="X14" s="33">
        <f t="shared" ref="X14:Y14" ca="1" si="46">COUNTIF(P14, "&lt;30")</f>
        <v>0</v>
      </c>
      <c r="Y14" s="33">
        <f t="shared" ca="1" si="46"/>
        <v>0</v>
      </c>
      <c r="Z14" s="34">
        <f t="shared" ca="1" si="6"/>
        <v>0</v>
      </c>
      <c r="AA14" s="50"/>
      <c r="AB14" s="51"/>
      <c r="AC14" s="51"/>
      <c r="AD14" s="47"/>
    </row>
    <row r="15" spans="1:30" ht="17.399999999999999">
      <c r="A15" s="3">
        <f t="shared" si="0"/>
        <v>12</v>
      </c>
      <c r="B15" s="3" t="s">
        <v>58</v>
      </c>
      <c r="C15" s="23" t="s">
        <v>54</v>
      </c>
      <c r="D15" s="28">
        <v>46446</v>
      </c>
      <c r="E15" s="28">
        <v>46446</v>
      </c>
      <c r="F15" s="28"/>
      <c r="G15" s="28"/>
      <c r="H15" s="28">
        <v>46446</v>
      </c>
      <c r="I15" s="28"/>
      <c r="J15" s="28">
        <v>46446</v>
      </c>
      <c r="K15" s="32">
        <f t="shared" ref="K15:N15" ca="1" si="47">IF(OR($AB$1="",D15=""),"",D15-$AB$1)</f>
        <v>149</v>
      </c>
      <c r="L15" s="32">
        <f t="shared" ca="1" si="47"/>
        <v>149</v>
      </c>
      <c r="M15" s="32" t="str">
        <f t="shared" ca="1" si="47"/>
        <v/>
      </c>
      <c r="N15" s="32" t="str">
        <f t="shared" ca="1" si="47"/>
        <v/>
      </c>
      <c r="O15" s="32" t="str">
        <f t="shared" ref="O15:P15" ca="1" si="48">IF(OR($AB$1="",I15=""),"",I15-$AB$1)</f>
        <v/>
      </c>
      <c r="P15" s="32">
        <f t="shared" ca="1" si="48"/>
        <v>149</v>
      </c>
      <c r="Q15" s="32">
        <f t="shared" ca="1" si="3"/>
        <v>149</v>
      </c>
      <c r="R15" s="195"/>
      <c r="S15" s="33">
        <f t="shared" ref="S15:U15" ca="1" si="49">COUNTIF(K15, "&lt;30")</f>
        <v>0</v>
      </c>
      <c r="T15" s="33">
        <f t="shared" ca="1" si="49"/>
        <v>0</v>
      </c>
      <c r="U15" s="33">
        <f t="shared" ca="1" si="49"/>
        <v>0</v>
      </c>
      <c r="V15" s="33"/>
      <c r="W15" s="33"/>
      <c r="X15" s="33">
        <f t="shared" ref="X15:Y15" ca="1" si="50">COUNTIF(P15, "&lt;30")</f>
        <v>0</v>
      </c>
      <c r="Y15" s="33">
        <f t="shared" ca="1" si="50"/>
        <v>0</v>
      </c>
      <c r="Z15" s="34">
        <f t="shared" ca="1" si="6"/>
        <v>0</v>
      </c>
      <c r="AA15" s="53"/>
      <c r="AB15" s="47"/>
      <c r="AC15" s="47"/>
      <c r="AD15" s="47"/>
    </row>
    <row r="16" spans="1:30" ht="17.399999999999999">
      <c r="A16" s="3">
        <f t="shared" si="0"/>
        <v>13</v>
      </c>
      <c r="B16" s="3" t="s">
        <v>60</v>
      </c>
      <c r="C16" s="23" t="s">
        <v>54</v>
      </c>
      <c r="D16" s="24">
        <v>46254</v>
      </c>
      <c r="E16" s="24">
        <v>46254</v>
      </c>
      <c r="F16" s="28">
        <v>46418</v>
      </c>
      <c r="G16" s="40"/>
      <c r="H16" s="35"/>
      <c r="I16" s="40"/>
      <c r="J16" s="40">
        <v>46283</v>
      </c>
      <c r="K16" s="32">
        <f t="shared" ref="K16:N16" ca="1" si="51">IF(OR($AB$1="",D16=""),"",D16-$AB$1)</f>
        <v>-43</v>
      </c>
      <c r="L16" s="32">
        <f t="shared" ca="1" si="51"/>
        <v>-43</v>
      </c>
      <c r="M16" s="32">
        <f t="shared" ca="1" si="51"/>
        <v>121</v>
      </c>
      <c r="N16" s="32" t="str">
        <f t="shared" ca="1" si="51"/>
        <v/>
      </c>
      <c r="O16" s="32" t="str">
        <f t="shared" ref="O16:P16" ca="1" si="52">IF(OR($AB$1="",I16=""),"",I16-$AB$1)</f>
        <v/>
      </c>
      <c r="P16" s="32">
        <f t="shared" ca="1" si="52"/>
        <v>-14</v>
      </c>
      <c r="Q16" s="32">
        <f t="shared" ca="1" si="3"/>
        <v>-14</v>
      </c>
      <c r="R16" s="195"/>
      <c r="S16" s="33">
        <f t="shared" ref="S16:U16" ca="1" si="53">COUNTIF(K16, "&lt;30")</f>
        <v>1</v>
      </c>
      <c r="T16" s="33">
        <f t="shared" ca="1" si="53"/>
        <v>1</v>
      </c>
      <c r="U16" s="33">
        <f t="shared" ca="1" si="53"/>
        <v>0</v>
      </c>
      <c r="V16" s="33"/>
      <c r="W16" s="33"/>
      <c r="X16" s="33">
        <f t="shared" ref="X16:Y16" ca="1" si="54">COUNTIF(P16, "&lt;30")</f>
        <v>1</v>
      </c>
      <c r="Y16" s="33">
        <f t="shared" ca="1" si="54"/>
        <v>1</v>
      </c>
      <c r="Z16" s="34">
        <f t="shared" ca="1" si="6"/>
        <v>4</v>
      </c>
      <c r="AA16" s="52"/>
      <c r="AB16" s="47"/>
      <c r="AC16" s="47"/>
      <c r="AD16" s="47"/>
    </row>
    <row r="17" spans="1:30" ht="17.399999999999999">
      <c r="A17" s="3">
        <f t="shared" si="0"/>
        <v>14</v>
      </c>
      <c r="B17" s="3" t="s">
        <v>63</v>
      </c>
      <c r="C17" s="23" t="s">
        <v>54</v>
      </c>
      <c r="D17" s="28">
        <v>46292</v>
      </c>
      <c r="E17" s="28">
        <v>46292</v>
      </c>
      <c r="F17" s="28"/>
      <c r="G17" s="28"/>
      <c r="H17" s="31">
        <v>46254</v>
      </c>
      <c r="I17" s="28"/>
      <c r="J17" s="28">
        <v>46292</v>
      </c>
      <c r="K17" s="32">
        <v>16</v>
      </c>
      <c r="L17" s="32">
        <f t="shared" ref="L17:N17" ca="1" si="55">IF(OR($AB$1="",E17=""),"",E17-$AB$1)</f>
        <v>-5</v>
      </c>
      <c r="M17" s="32" t="str">
        <f t="shared" ca="1" si="55"/>
        <v/>
      </c>
      <c r="N17" s="32" t="str">
        <f t="shared" ca="1" si="55"/>
        <v/>
      </c>
      <c r="O17" s="32" t="str">
        <f t="shared" ref="O17:P17" ca="1" si="56">IF(OR($AB$1="",I17=""),"",I17-$AB$1)</f>
        <v/>
      </c>
      <c r="P17" s="32">
        <f t="shared" ca="1" si="56"/>
        <v>-5</v>
      </c>
      <c r="Q17" s="32">
        <f t="shared" ca="1" si="3"/>
        <v>-5</v>
      </c>
      <c r="R17" s="195"/>
      <c r="S17" s="33">
        <f t="shared" ref="S17:U17" si="57">COUNTIF(K17, "&lt;30")</f>
        <v>1</v>
      </c>
      <c r="T17" s="33">
        <f t="shared" ca="1" si="57"/>
        <v>1</v>
      </c>
      <c r="U17" s="33">
        <f t="shared" ca="1" si="57"/>
        <v>0</v>
      </c>
      <c r="V17" s="33"/>
      <c r="W17" s="33"/>
      <c r="X17" s="33">
        <f t="shared" ref="X17:Y17" ca="1" si="58">COUNTIF(P17, "&lt;30")</f>
        <v>1</v>
      </c>
      <c r="Y17" s="33">
        <f t="shared" ca="1" si="58"/>
        <v>1</v>
      </c>
      <c r="Z17" s="34">
        <f t="shared" ca="1" si="6"/>
        <v>4</v>
      </c>
      <c r="AA17" s="52"/>
      <c r="AB17" s="47"/>
      <c r="AC17" s="47"/>
      <c r="AD17" s="47"/>
    </row>
    <row r="18" spans="1:30" ht="17.399999999999999">
      <c r="A18" s="3">
        <f t="shared" si="0"/>
        <v>15</v>
      </c>
      <c r="B18" s="3" t="s">
        <v>65</v>
      </c>
      <c r="C18" s="23" t="s">
        <v>54</v>
      </c>
      <c r="D18" s="40">
        <v>46283</v>
      </c>
      <c r="E18" s="28"/>
      <c r="F18" s="28"/>
      <c r="G18" s="24"/>
      <c r="H18" s="31">
        <v>46352</v>
      </c>
      <c r="I18" s="24"/>
      <c r="J18" s="24">
        <v>46352</v>
      </c>
      <c r="K18" s="32">
        <f t="shared" ref="K18:N18" ca="1" si="59">IF(OR($AB$1="",D18=""),"",D18-$AB$1)</f>
        <v>-14</v>
      </c>
      <c r="L18" s="32" t="str">
        <f t="shared" ca="1" si="59"/>
        <v/>
      </c>
      <c r="M18" s="32" t="str">
        <f t="shared" ca="1" si="59"/>
        <v/>
      </c>
      <c r="N18" s="32" t="str">
        <f t="shared" ca="1" si="59"/>
        <v/>
      </c>
      <c r="O18" s="32" t="str">
        <f t="shared" ref="O18:P18" ca="1" si="60">IF(OR($AB$1="",I18=""),"",I18-$AB$1)</f>
        <v/>
      </c>
      <c r="P18" s="32">
        <f t="shared" ca="1" si="60"/>
        <v>55</v>
      </c>
      <c r="Q18" s="32">
        <f t="shared" ca="1" si="3"/>
        <v>55</v>
      </c>
      <c r="R18" s="195"/>
      <c r="S18" s="33">
        <f t="shared" ref="S18:U18" ca="1" si="61">COUNTIF(K18, "&lt;30")</f>
        <v>1</v>
      </c>
      <c r="T18" s="33">
        <f t="shared" ca="1" si="61"/>
        <v>0</v>
      </c>
      <c r="U18" s="33">
        <f t="shared" ca="1" si="61"/>
        <v>0</v>
      </c>
      <c r="V18" s="33"/>
      <c r="W18" s="33"/>
      <c r="X18" s="33">
        <f t="shared" ref="X18:Y18" ca="1" si="62">COUNTIF(P18, "&lt;30")</f>
        <v>0</v>
      </c>
      <c r="Y18" s="33">
        <f t="shared" ca="1" si="62"/>
        <v>0</v>
      </c>
      <c r="Z18" s="34">
        <f t="shared" ca="1" si="6"/>
        <v>1</v>
      </c>
      <c r="AA18" s="58"/>
      <c r="AB18" s="47"/>
      <c r="AC18" s="47"/>
      <c r="AD18" s="47"/>
    </row>
    <row r="19" spans="1:30" ht="17.399999999999999">
      <c r="A19" s="3">
        <f t="shared" si="0"/>
        <v>16</v>
      </c>
      <c r="B19" s="3" t="s">
        <v>67</v>
      </c>
      <c r="C19" s="23" t="s">
        <v>54</v>
      </c>
      <c r="D19" s="28">
        <v>46446</v>
      </c>
      <c r="E19" s="28">
        <v>46446</v>
      </c>
      <c r="F19" s="28"/>
      <c r="G19" s="28"/>
      <c r="H19" s="28">
        <v>46446</v>
      </c>
      <c r="I19" s="28"/>
      <c r="J19" s="28">
        <v>46292</v>
      </c>
      <c r="K19" s="32">
        <f t="shared" ref="K19:N19" ca="1" si="63">IF(OR($AB$1="",D19=""),"",D19-$AB$1)</f>
        <v>149</v>
      </c>
      <c r="L19" s="32">
        <f t="shared" ca="1" si="63"/>
        <v>149</v>
      </c>
      <c r="M19" s="32" t="str">
        <f t="shared" ca="1" si="63"/>
        <v/>
      </c>
      <c r="N19" s="32" t="str">
        <f t="shared" ca="1" si="63"/>
        <v/>
      </c>
      <c r="O19" s="32" t="str">
        <f t="shared" ref="O19:P19" ca="1" si="64">IF(OR($AB$1="",I19=""),"",I19-$AB$1)</f>
        <v/>
      </c>
      <c r="P19" s="32">
        <f t="shared" ca="1" si="64"/>
        <v>-5</v>
      </c>
      <c r="Q19" s="32">
        <f t="shared" ca="1" si="3"/>
        <v>-5</v>
      </c>
      <c r="R19" s="195"/>
      <c r="S19" s="33">
        <f t="shared" ref="S19:U19" ca="1" si="65">COUNTIF(K19, "&lt;30")</f>
        <v>0</v>
      </c>
      <c r="T19" s="33">
        <f t="shared" ca="1" si="65"/>
        <v>0</v>
      </c>
      <c r="U19" s="33">
        <f t="shared" ca="1" si="65"/>
        <v>0</v>
      </c>
      <c r="V19" s="33"/>
      <c r="W19" s="33"/>
      <c r="X19" s="33">
        <f t="shared" ref="X19:Y19" ca="1" si="66">COUNTIF(P19, "&lt;30")</f>
        <v>1</v>
      </c>
      <c r="Y19" s="33">
        <f t="shared" ca="1" si="66"/>
        <v>1</v>
      </c>
      <c r="Z19" s="34">
        <f t="shared" ca="1" si="6"/>
        <v>2</v>
      </c>
      <c r="AA19" s="52"/>
      <c r="AB19" s="47"/>
      <c r="AC19" s="47"/>
      <c r="AD19" s="47"/>
    </row>
    <row r="20" spans="1:30" ht="17.399999999999999">
      <c r="A20" s="3">
        <f t="shared" si="0"/>
        <v>17</v>
      </c>
      <c r="B20" s="3" t="s">
        <v>68</v>
      </c>
      <c r="C20" s="23" t="s">
        <v>54</v>
      </c>
      <c r="D20" s="40">
        <v>46283</v>
      </c>
      <c r="E20" s="40">
        <v>46283</v>
      </c>
      <c r="F20" s="28"/>
      <c r="G20" s="24"/>
      <c r="H20" s="28">
        <v>46446</v>
      </c>
      <c r="I20" s="24"/>
      <c r="J20" s="28">
        <v>46446</v>
      </c>
      <c r="K20" s="32">
        <f t="shared" ref="K20:N20" ca="1" si="67">IF(OR($AB$1="",D20=""),"",D20-$AB$1)</f>
        <v>-14</v>
      </c>
      <c r="L20" s="32">
        <f t="shared" ca="1" si="67"/>
        <v>-14</v>
      </c>
      <c r="M20" s="32" t="str">
        <f t="shared" ca="1" si="67"/>
        <v/>
      </c>
      <c r="N20" s="32" t="str">
        <f t="shared" ca="1" si="67"/>
        <v/>
      </c>
      <c r="O20" s="32" t="str">
        <f t="shared" ref="O20:P20" ca="1" si="68">IF(OR($AB$1="",I20=""),"",I20-$AB$1)</f>
        <v/>
      </c>
      <c r="P20" s="32">
        <f t="shared" ca="1" si="68"/>
        <v>149</v>
      </c>
      <c r="Q20" s="32">
        <f t="shared" ca="1" si="3"/>
        <v>149</v>
      </c>
      <c r="R20" s="195"/>
      <c r="S20" s="33">
        <f t="shared" ref="S20:U20" ca="1" si="69">COUNTIF(K20, "&lt;30")</f>
        <v>1</v>
      </c>
      <c r="T20" s="33">
        <f t="shared" ca="1" si="69"/>
        <v>1</v>
      </c>
      <c r="U20" s="33">
        <f t="shared" ca="1" si="69"/>
        <v>0</v>
      </c>
      <c r="V20" s="33"/>
      <c r="W20" s="33"/>
      <c r="X20" s="33">
        <f t="shared" ref="X20:Y20" ca="1" si="70">COUNTIF(P20, "&lt;30")</f>
        <v>0</v>
      </c>
      <c r="Y20" s="33">
        <f t="shared" ca="1" si="70"/>
        <v>0</v>
      </c>
      <c r="Z20" s="34">
        <f t="shared" ca="1" si="6"/>
        <v>2</v>
      </c>
      <c r="AA20" s="52"/>
      <c r="AB20" s="47"/>
      <c r="AC20" s="47"/>
      <c r="AD20" s="47"/>
    </row>
    <row r="21" spans="1:30" ht="17.399999999999999">
      <c r="A21" s="3">
        <f t="shared" si="0"/>
        <v>18</v>
      </c>
      <c r="B21" s="3" t="s">
        <v>71</v>
      </c>
      <c r="C21" s="23" t="s">
        <v>45</v>
      </c>
      <c r="D21" s="28">
        <v>46446</v>
      </c>
      <c r="E21" s="28">
        <v>46446</v>
      </c>
      <c r="F21" s="28"/>
      <c r="G21" s="24"/>
      <c r="H21" s="31">
        <v>46352</v>
      </c>
      <c r="I21" s="24"/>
      <c r="J21" s="24">
        <v>46352</v>
      </c>
      <c r="K21" s="32">
        <f t="shared" ref="K21:N21" ca="1" si="71">IF(OR($AB$1="",D21=""),"",D21-$AB$1)</f>
        <v>149</v>
      </c>
      <c r="L21" s="32">
        <f t="shared" ca="1" si="71"/>
        <v>149</v>
      </c>
      <c r="M21" s="32" t="str">
        <f t="shared" ca="1" si="71"/>
        <v/>
      </c>
      <c r="N21" s="32" t="str">
        <f t="shared" ca="1" si="71"/>
        <v/>
      </c>
      <c r="O21" s="32" t="str">
        <f t="shared" ref="O21:P21" ca="1" si="72">IF(OR($AB$1="",I21=""),"",I21-$AB$1)</f>
        <v/>
      </c>
      <c r="P21" s="32">
        <f t="shared" ca="1" si="72"/>
        <v>55</v>
      </c>
      <c r="Q21" s="32">
        <f t="shared" ca="1" si="3"/>
        <v>55</v>
      </c>
      <c r="R21" s="195"/>
      <c r="S21" s="33">
        <f t="shared" ref="S21:U21" ca="1" si="73">COUNTIF(K21, "&lt;30")</f>
        <v>0</v>
      </c>
      <c r="T21" s="33">
        <f t="shared" ca="1" si="73"/>
        <v>0</v>
      </c>
      <c r="U21" s="33">
        <f t="shared" ca="1" si="73"/>
        <v>0</v>
      </c>
      <c r="V21" s="33"/>
      <c r="W21" s="33"/>
      <c r="X21" s="33">
        <f t="shared" ref="X21:Y21" ca="1" si="74">COUNTIF(P21, "&lt;30")</f>
        <v>0</v>
      </c>
      <c r="Y21" s="33">
        <f t="shared" ca="1" si="74"/>
        <v>0</v>
      </c>
      <c r="Z21" s="34">
        <f t="shared" ca="1" si="6"/>
        <v>0</v>
      </c>
    </row>
    <row r="22" spans="1:30" ht="17.399999999999999">
      <c r="A22" s="63">
        <f t="shared" si="0"/>
        <v>19</v>
      </c>
      <c r="B22" s="63" t="s">
        <v>72</v>
      </c>
      <c r="C22" s="23" t="s">
        <v>45</v>
      </c>
      <c r="D22" s="28">
        <v>46446</v>
      </c>
      <c r="E22" s="28">
        <v>46446</v>
      </c>
      <c r="F22" s="64"/>
      <c r="G22" s="40"/>
      <c r="H22" s="28">
        <v>46325</v>
      </c>
      <c r="I22" s="40"/>
      <c r="J22" s="40">
        <v>46283</v>
      </c>
      <c r="K22" s="32">
        <f t="shared" ref="K22:N22" ca="1" si="75">IF(OR($AB$1="",D22=""),"",D22-$AB$1)</f>
        <v>149</v>
      </c>
      <c r="L22" s="32">
        <f t="shared" ca="1" si="75"/>
        <v>149</v>
      </c>
      <c r="M22" s="32" t="str">
        <f t="shared" ca="1" si="75"/>
        <v/>
      </c>
      <c r="N22" s="32" t="str">
        <f t="shared" ca="1" si="75"/>
        <v/>
      </c>
      <c r="O22" s="32" t="str">
        <f t="shared" ref="O22:P22" ca="1" si="76">IF(OR($AB$1="",I22=""),"",I22-$AB$1)</f>
        <v/>
      </c>
      <c r="P22" s="32">
        <f t="shared" ca="1" si="76"/>
        <v>-14</v>
      </c>
      <c r="Q22" s="32">
        <f t="shared" ca="1" si="3"/>
        <v>-14</v>
      </c>
      <c r="R22" s="195"/>
      <c r="S22" s="33">
        <f t="shared" ref="S22:U22" ca="1" si="77">COUNTIF(K22, "&lt;30")</f>
        <v>0</v>
      </c>
      <c r="T22" s="33">
        <f t="shared" ca="1" si="77"/>
        <v>0</v>
      </c>
      <c r="U22" s="33">
        <f t="shared" ca="1" si="77"/>
        <v>0</v>
      </c>
      <c r="V22" s="33"/>
      <c r="W22" s="33"/>
      <c r="X22" s="33">
        <f t="shared" ref="X22:Y22" ca="1" si="78">COUNTIF(P22, "&lt;30")</f>
        <v>1</v>
      </c>
      <c r="Y22" s="33">
        <f t="shared" ca="1" si="78"/>
        <v>1</v>
      </c>
      <c r="Z22" s="34">
        <f t="shared" ca="1" si="6"/>
        <v>2</v>
      </c>
    </row>
    <row r="23" spans="1:30" ht="17.399999999999999">
      <c r="A23" s="3">
        <f t="shared" si="0"/>
        <v>20</v>
      </c>
      <c r="B23" s="36" t="s">
        <v>72</v>
      </c>
      <c r="C23" s="66" t="s">
        <v>45</v>
      </c>
      <c r="D23" s="41"/>
      <c r="E23" s="41"/>
      <c r="F23" s="42">
        <v>46376</v>
      </c>
      <c r="G23" s="42"/>
      <c r="H23" s="35"/>
      <c r="I23" s="42"/>
      <c r="J23" s="42">
        <v>46376</v>
      </c>
      <c r="K23" s="32" t="str">
        <f t="shared" ref="K23:N23" ca="1" si="79">IF(OR($AB$1="",D23=""),"",D23-$AB$1)</f>
        <v/>
      </c>
      <c r="L23" s="32" t="str">
        <f t="shared" ca="1" si="79"/>
        <v/>
      </c>
      <c r="M23" s="32">
        <f t="shared" ca="1" si="79"/>
        <v>79</v>
      </c>
      <c r="N23" s="32" t="str">
        <f t="shared" ca="1" si="79"/>
        <v/>
      </c>
      <c r="O23" s="32" t="str">
        <f t="shared" ref="O23:P23" ca="1" si="80">IF(OR($AB$1="",I23=""),"",I23-$AB$1)</f>
        <v/>
      </c>
      <c r="P23" s="32">
        <f t="shared" ca="1" si="80"/>
        <v>79</v>
      </c>
      <c r="Q23" s="32">
        <f t="shared" ca="1" si="3"/>
        <v>79</v>
      </c>
      <c r="R23" s="195"/>
      <c r="S23" s="33">
        <f t="shared" ref="S23:U23" ca="1" si="81">COUNTIF(K23, "&lt;30")</f>
        <v>0</v>
      </c>
      <c r="T23" s="33">
        <f t="shared" ca="1" si="81"/>
        <v>0</v>
      </c>
      <c r="U23" s="33">
        <f t="shared" ca="1" si="81"/>
        <v>0</v>
      </c>
      <c r="V23" s="33"/>
      <c r="W23" s="33"/>
      <c r="X23" s="33">
        <f t="shared" ref="X23:Y23" ca="1" si="82">COUNTIF(P23, "&lt;30")</f>
        <v>0</v>
      </c>
      <c r="Y23" s="33">
        <f t="shared" ca="1" si="82"/>
        <v>0</v>
      </c>
      <c r="Z23" s="34">
        <f t="shared" ca="1" si="6"/>
        <v>0</v>
      </c>
    </row>
    <row r="24" spans="1:30" ht="17.399999999999999">
      <c r="A24" s="3">
        <f t="shared" si="0"/>
        <v>21</v>
      </c>
      <c r="B24" s="36" t="s">
        <v>71</v>
      </c>
      <c r="C24" s="66" t="s">
        <v>45</v>
      </c>
      <c r="D24" s="41"/>
      <c r="E24" s="41"/>
      <c r="F24" s="42">
        <v>46376</v>
      </c>
      <c r="G24" s="42"/>
      <c r="H24" s="35"/>
      <c r="I24" s="42"/>
      <c r="J24" s="42">
        <v>46376</v>
      </c>
      <c r="K24" s="32" t="str">
        <f t="shared" ref="K24:N24" ca="1" si="83">IF(OR($AB$1="",D24=""),"",D24-$AB$1)</f>
        <v/>
      </c>
      <c r="L24" s="32" t="str">
        <f t="shared" ca="1" si="83"/>
        <v/>
      </c>
      <c r="M24" s="32">
        <f t="shared" ca="1" si="83"/>
        <v>79</v>
      </c>
      <c r="N24" s="32" t="str">
        <f t="shared" ca="1" si="83"/>
        <v/>
      </c>
      <c r="O24" s="32" t="str">
        <f t="shared" ref="O24:P24" ca="1" si="84">IF(OR($AB$1="",I24=""),"",I24-$AB$1)</f>
        <v/>
      </c>
      <c r="P24" s="32">
        <f t="shared" ca="1" si="84"/>
        <v>79</v>
      </c>
      <c r="Q24" s="32">
        <f t="shared" ca="1" si="3"/>
        <v>79</v>
      </c>
      <c r="R24" s="195"/>
      <c r="S24" s="33">
        <f t="shared" ref="S24:U24" ca="1" si="85">COUNTIF(K24, "&lt;30")</f>
        <v>0</v>
      </c>
      <c r="T24" s="33">
        <f t="shared" ca="1" si="85"/>
        <v>0</v>
      </c>
      <c r="U24" s="33">
        <f t="shared" ca="1" si="85"/>
        <v>0</v>
      </c>
      <c r="V24" s="33"/>
      <c r="W24" s="33"/>
      <c r="X24" s="33">
        <f t="shared" ref="X24:Y24" ca="1" si="86">COUNTIF(P24, "&lt;30")</f>
        <v>0</v>
      </c>
      <c r="Y24" s="33">
        <f t="shared" ca="1" si="86"/>
        <v>0</v>
      </c>
      <c r="Z24" s="34">
        <f t="shared" ca="1" si="6"/>
        <v>0</v>
      </c>
    </row>
    <row r="25" spans="1:30" ht="17.399999999999999">
      <c r="A25" s="3">
        <f t="shared" si="0"/>
        <v>22</v>
      </c>
      <c r="B25" s="36" t="s">
        <v>76</v>
      </c>
      <c r="C25" s="23" t="s">
        <v>54</v>
      </c>
      <c r="D25" s="28">
        <v>46418</v>
      </c>
      <c r="E25" s="28">
        <v>46418</v>
      </c>
      <c r="F25" s="42">
        <v>46376</v>
      </c>
      <c r="G25" s="24"/>
      <c r="H25" s="35"/>
      <c r="I25" s="24"/>
      <c r="J25" s="24">
        <v>46254</v>
      </c>
      <c r="K25" s="32">
        <f t="shared" ref="K25:N25" ca="1" si="87">IF(OR($AB$1="",D25=""),"",D25-$AB$1)</f>
        <v>121</v>
      </c>
      <c r="L25" s="32">
        <f t="shared" ca="1" si="87"/>
        <v>121</v>
      </c>
      <c r="M25" s="32">
        <f t="shared" ca="1" si="87"/>
        <v>79</v>
      </c>
      <c r="N25" s="32" t="str">
        <f t="shared" ca="1" si="87"/>
        <v/>
      </c>
      <c r="O25" s="32" t="str">
        <f t="shared" ref="O25:P25" ca="1" si="88">IF(OR($AB$1="",I25=""),"",I25-$AB$1)</f>
        <v/>
      </c>
      <c r="P25" s="32">
        <f t="shared" ca="1" si="88"/>
        <v>-43</v>
      </c>
      <c r="Q25" s="32">
        <f t="shared" ca="1" si="3"/>
        <v>-43</v>
      </c>
      <c r="R25" s="195"/>
      <c r="S25" s="33">
        <f t="shared" ref="S25:U25" ca="1" si="89">COUNTIF(K25, "&lt;30")</f>
        <v>0</v>
      </c>
      <c r="T25" s="33">
        <f t="shared" ca="1" si="89"/>
        <v>0</v>
      </c>
      <c r="U25" s="33">
        <f t="shared" ca="1" si="89"/>
        <v>0</v>
      </c>
      <c r="V25" s="33"/>
      <c r="W25" s="33"/>
      <c r="X25" s="33">
        <f t="shared" ref="X25:Y25" ca="1" si="90">COUNTIF(P25, "&lt;30")</f>
        <v>1</v>
      </c>
      <c r="Y25" s="33">
        <f t="shared" ca="1" si="90"/>
        <v>1</v>
      </c>
      <c r="Z25" s="34">
        <f t="shared" ca="1" si="6"/>
        <v>2</v>
      </c>
    </row>
    <row r="26" spans="1:30" ht="17.399999999999999">
      <c r="A26" s="3">
        <f t="shared" si="0"/>
        <v>23</v>
      </c>
      <c r="B26" s="36" t="s">
        <v>78</v>
      </c>
      <c r="C26" s="23" t="s">
        <v>54</v>
      </c>
      <c r="D26" s="40">
        <v>46283</v>
      </c>
      <c r="E26" s="40">
        <v>46283</v>
      </c>
      <c r="F26" s="28"/>
      <c r="G26" s="28"/>
      <c r="H26" s="28">
        <v>46325</v>
      </c>
      <c r="I26" s="28"/>
      <c r="J26" s="28">
        <v>46325</v>
      </c>
      <c r="K26" s="32">
        <f t="shared" ref="K26:N26" ca="1" si="91">IF(OR($AB$1="",D26=""),"",D26-$AB$1)</f>
        <v>-14</v>
      </c>
      <c r="L26" s="32">
        <f t="shared" ca="1" si="91"/>
        <v>-14</v>
      </c>
      <c r="M26" s="32" t="str">
        <f t="shared" ca="1" si="91"/>
        <v/>
      </c>
      <c r="N26" s="32" t="str">
        <f t="shared" ca="1" si="91"/>
        <v/>
      </c>
      <c r="O26" s="32" t="str">
        <f t="shared" ref="O26:P26" ca="1" si="92">IF(OR($AB$1="",I26=""),"",I26-$AB$1)</f>
        <v/>
      </c>
      <c r="P26" s="32">
        <f t="shared" ca="1" si="92"/>
        <v>28</v>
      </c>
      <c r="Q26" s="32">
        <f t="shared" ca="1" si="3"/>
        <v>28</v>
      </c>
      <c r="R26" s="195"/>
      <c r="S26" s="33">
        <f t="shared" ref="S26:U26" ca="1" si="93">COUNTIF(K26, "&lt;30")</f>
        <v>1</v>
      </c>
      <c r="T26" s="33">
        <f t="shared" ca="1" si="93"/>
        <v>1</v>
      </c>
      <c r="U26" s="33">
        <f t="shared" ca="1" si="93"/>
        <v>0</v>
      </c>
      <c r="V26" s="33"/>
      <c r="W26" s="33"/>
      <c r="X26" s="33">
        <f t="shared" ref="X26:Y26" ca="1" si="94">COUNTIF(P26, "&lt;30")</f>
        <v>1</v>
      </c>
      <c r="Y26" s="33">
        <f t="shared" ca="1" si="94"/>
        <v>1</v>
      </c>
      <c r="Z26" s="34">
        <f t="shared" ca="1" si="6"/>
        <v>4</v>
      </c>
    </row>
    <row r="27" spans="1:30" ht="17.399999999999999">
      <c r="A27" s="63">
        <f t="shared" si="0"/>
        <v>24</v>
      </c>
      <c r="B27" s="3" t="s">
        <v>79</v>
      </c>
      <c r="C27" s="23" t="s">
        <v>54</v>
      </c>
      <c r="D27" s="40">
        <v>46283</v>
      </c>
      <c r="E27" s="40">
        <v>46283</v>
      </c>
      <c r="F27" s="28"/>
      <c r="G27" s="24"/>
      <c r="H27" s="31">
        <v>46254</v>
      </c>
      <c r="I27" s="24"/>
      <c r="J27" s="24">
        <v>46254</v>
      </c>
      <c r="K27" s="32">
        <f t="shared" ref="K27:N27" ca="1" si="95">IF(OR($AB$1="",D27=""),"",D27-$AB$1)</f>
        <v>-14</v>
      </c>
      <c r="L27" s="32">
        <f t="shared" ca="1" si="95"/>
        <v>-14</v>
      </c>
      <c r="M27" s="32" t="str">
        <f t="shared" ca="1" si="95"/>
        <v/>
      </c>
      <c r="N27" s="32" t="str">
        <f t="shared" ca="1" si="95"/>
        <v/>
      </c>
      <c r="O27" s="32" t="str">
        <f t="shared" ref="O27:P27" ca="1" si="96">IF(OR($AB$1="",I27=""),"",I27-$AB$1)</f>
        <v/>
      </c>
      <c r="P27" s="32">
        <f t="shared" ca="1" si="96"/>
        <v>-43</v>
      </c>
      <c r="Q27" s="32">
        <f t="shared" ca="1" si="3"/>
        <v>-43</v>
      </c>
      <c r="R27" s="195"/>
      <c r="S27" s="33">
        <f t="shared" ref="S27:U27" ca="1" si="97">COUNTIF(K27, "&lt;30")</f>
        <v>1</v>
      </c>
      <c r="T27" s="33">
        <f t="shared" ca="1" si="97"/>
        <v>1</v>
      </c>
      <c r="U27" s="33">
        <f t="shared" ca="1" si="97"/>
        <v>0</v>
      </c>
      <c r="V27" s="33"/>
      <c r="W27" s="33"/>
      <c r="X27" s="33">
        <f t="shared" ref="X27:Y27" ca="1" si="98">COUNTIF(P27, "&lt;30")</f>
        <v>1</v>
      </c>
      <c r="Y27" s="33">
        <f t="shared" ca="1" si="98"/>
        <v>1</v>
      </c>
      <c r="Z27" s="34">
        <f t="shared" ca="1" si="6"/>
        <v>4</v>
      </c>
    </row>
    <row r="28" spans="1:30" ht="17.399999999999999">
      <c r="A28" s="3">
        <f t="shared" si="0"/>
        <v>25</v>
      </c>
      <c r="B28" s="3" t="s">
        <v>80</v>
      </c>
      <c r="C28" s="23" t="s">
        <v>81</v>
      </c>
      <c r="D28" s="40">
        <v>46283</v>
      </c>
      <c r="E28" s="40">
        <v>46283</v>
      </c>
      <c r="F28" s="28"/>
      <c r="G28" s="40"/>
      <c r="H28" s="28">
        <v>46283</v>
      </c>
      <c r="I28" s="40"/>
      <c r="J28" s="40">
        <v>46283</v>
      </c>
      <c r="K28" s="32">
        <f t="shared" ref="K28:N28" ca="1" si="99">IF(OR($AB$1="",D28=""),"",D28-$AB$1)</f>
        <v>-14</v>
      </c>
      <c r="L28" s="32">
        <f t="shared" ca="1" si="99"/>
        <v>-14</v>
      </c>
      <c r="M28" s="32" t="str">
        <f t="shared" ca="1" si="99"/>
        <v/>
      </c>
      <c r="N28" s="32" t="str">
        <f t="shared" ca="1" si="99"/>
        <v/>
      </c>
      <c r="O28" s="32" t="str">
        <f t="shared" ref="O28:P28" ca="1" si="100">IF(OR($AB$1="",I28=""),"",I28-$AB$1)</f>
        <v/>
      </c>
      <c r="P28" s="32">
        <f t="shared" ca="1" si="100"/>
        <v>-14</v>
      </c>
      <c r="Q28" s="32">
        <f t="shared" ca="1" si="3"/>
        <v>-14</v>
      </c>
      <c r="R28" s="195"/>
      <c r="S28" s="33">
        <f t="shared" ref="S28:U28" ca="1" si="101">COUNTIF(K28, "&lt;30")</f>
        <v>1</v>
      </c>
      <c r="T28" s="33">
        <f t="shared" ca="1" si="101"/>
        <v>1</v>
      </c>
      <c r="U28" s="33">
        <f t="shared" ca="1" si="101"/>
        <v>0</v>
      </c>
      <c r="V28" s="33"/>
      <c r="W28" s="33"/>
      <c r="X28" s="33">
        <f t="shared" ref="X28:Y28" ca="1" si="102">COUNTIF(P28, "&lt;30")</f>
        <v>1</v>
      </c>
      <c r="Y28" s="33">
        <f t="shared" ca="1" si="102"/>
        <v>1</v>
      </c>
      <c r="Z28" s="34">
        <f t="shared" ca="1" si="6"/>
        <v>4</v>
      </c>
    </row>
    <row r="29" spans="1:30" ht="17.399999999999999">
      <c r="A29" s="3">
        <f t="shared" si="0"/>
        <v>26</v>
      </c>
      <c r="B29" s="3" t="s">
        <v>84</v>
      </c>
      <c r="C29" s="23" t="s">
        <v>81</v>
      </c>
      <c r="D29" s="24">
        <v>46254</v>
      </c>
      <c r="E29" s="24">
        <v>46254</v>
      </c>
      <c r="F29" s="28"/>
      <c r="G29" s="24"/>
      <c r="H29" s="42">
        <v>46376</v>
      </c>
      <c r="I29" s="24"/>
      <c r="J29" s="24">
        <v>46254</v>
      </c>
      <c r="K29" s="32">
        <f t="shared" ref="K29:N29" ca="1" si="103">IF(OR($AB$1="",D29=""),"",D29-$AB$1)</f>
        <v>-43</v>
      </c>
      <c r="L29" s="32">
        <f t="shared" ca="1" si="103"/>
        <v>-43</v>
      </c>
      <c r="M29" s="32" t="str">
        <f t="shared" ca="1" si="103"/>
        <v/>
      </c>
      <c r="N29" s="32" t="str">
        <f t="shared" ca="1" si="103"/>
        <v/>
      </c>
      <c r="O29" s="32" t="str">
        <f t="shared" ref="O29:P29" ca="1" si="104">IF(OR($AB$1="",I29=""),"",I29-$AB$1)</f>
        <v/>
      </c>
      <c r="P29" s="32">
        <f t="shared" ca="1" si="104"/>
        <v>-43</v>
      </c>
      <c r="Q29" s="32">
        <f t="shared" ca="1" si="3"/>
        <v>-43</v>
      </c>
      <c r="R29" s="195"/>
      <c r="S29" s="33">
        <f t="shared" ref="S29:Y29" ca="1" si="105">COUNTIF(K29, "&lt;30")</f>
        <v>1</v>
      </c>
      <c r="T29" s="33">
        <f t="shared" ca="1" si="105"/>
        <v>1</v>
      </c>
      <c r="U29" s="33">
        <f t="shared" ca="1" si="105"/>
        <v>0</v>
      </c>
      <c r="V29" s="33">
        <f t="shared" ca="1" si="105"/>
        <v>0</v>
      </c>
      <c r="W29" s="33">
        <f t="shared" ca="1" si="105"/>
        <v>0</v>
      </c>
      <c r="X29" s="33">
        <f t="shared" ca="1" si="105"/>
        <v>1</v>
      </c>
      <c r="Y29" s="33">
        <f t="shared" ca="1" si="105"/>
        <v>1</v>
      </c>
      <c r="Z29" s="34">
        <f t="shared" ca="1" si="6"/>
        <v>4</v>
      </c>
    </row>
    <row r="30" spans="1:30" ht="17.399999999999999">
      <c r="A30" s="3">
        <f t="shared" si="0"/>
        <v>27</v>
      </c>
      <c r="B30" s="3" t="s">
        <v>87</v>
      </c>
      <c r="C30" s="23" t="s">
        <v>81</v>
      </c>
      <c r="D30" s="75">
        <v>45890</v>
      </c>
      <c r="E30" s="75">
        <v>45890</v>
      </c>
      <c r="F30" s="76"/>
      <c r="G30" s="24"/>
      <c r="H30" s="31">
        <v>46254</v>
      </c>
      <c r="I30" s="24"/>
      <c r="J30" s="24">
        <v>46352</v>
      </c>
      <c r="K30" s="32">
        <f t="shared" ref="K30:N30" ca="1" si="106">IF(OR($AB$1="",D30=""),"",D30-$AB$1)</f>
        <v>-407</v>
      </c>
      <c r="L30" s="32">
        <f t="shared" ca="1" si="106"/>
        <v>-407</v>
      </c>
      <c r="M30" s="32" t="str">
        <f t="shared" ca="1" si="106"/>
        <v/>
      </c>
      <c r="N30" s="32" t="str">
        <f t="shared" ca="1" si="106"/>
        <v/>
      </c>
      <c r="O30" s="32" t="str">
        <f t="shared" ref="O30:P30" ca="1" si="107">IF(OR($AB$1="",I30=""),"",I30-$AB$1)</f>
        <v/>
      </c>
      <c r="P30" s="32">
        <f t="shared" ca="1" si="107"/>
        <v>55</v>
      </c>
      <c r="Q30" s="32">
        <f t="shared" ca="1" si="3"/>
        <v>55</v>
      </c>
      <c r="R30" s="195"/>
      <c r="S30" s="33">
        <f t="shared" ref="S30:Y30" ca="1" si="108">COUNTIF(K30, "&lt;30")</f>
        <v>1</v>
      </c>
      <c r="T30" s="33">
        <f t="shared" ca="1" si="108"/>
        <v>1</v>
      </c>
      <c r="U30" s="33">
        <f t="shared" ca="1" si="108"/>
        <v>0</v>
      </c>
      <c r="V30" s="33">
        <f t="shared" ca="1" si="108"/>
        <v>0</v>
      </c>
      <c r="W30" s="33">
        <f t="shared" ca="1" si="108"/>
        <v>0</v>
      </c>
      <c r="X30" s="33">
        <f t="shared" ca="1" si="108"/>
        <v>0</v>
      </c>
      <c r="Y30" s="33">
        <f t="shared" ca="1" si="108"/>
        <v>0</v>
      </c>
      <c r="Z30" s="34">
        <f t="shared" ca="1" si="6"/>
        <v>2</v>
      </c>
    </row>
    <row r="31" spans="1:30" ht="17.399999999999999">
      <c r="A31" s="3">
        <f t="shared" si="0"/>
        <v>28</v>
      </c>
      <c r="B31" s="52" t="s">
        <v>88</v>
      </c>
      <c r="C31" s="23" t="s">
        <v>81</v>
      </c>
      <c r="D31" s="24">
        <v>46254</v>
      </c>
      <c r="E31" s="24">
        <v>46254</v>
      </c>
      <c r="F31" s="28"/>
      <c r="G31" s="40"/>
      <c r="H31" s="28">
        <v>46325</v>
      </c>
      <c r="I31" s="40"/>
      <c r="J31" s="40">
        <v>46283</v>
      </c>
      <c r="K31" s="32">
        <f t="shared" ref="K31:N31" ca="1" si="109">IF(OR($AB$1="",D31=""),"",D31-$AB$1)</f>
        <v>-43</v>
      </c>
      <c r="L31" s="32">
        <f t="shared" ca="1" si="109"/>
        <v>-43</v>
      </c>
      <c r="M31" s="32" t="str">
        <f t="shared" ca="1" si="109"/>
        <v/>
      </c>
      <c r="N31" s="32" t="str">
        <f t="shared" ca="1" si="109"/>
        <v/>
      </c>
      <c r="O31" s="32" t="str">
        <f t="shared" ref="O31:P31" ca="1" si="110">IF(OR($AB$1="",I31=""),"",I31-$AB$1)</f>
        <v/>
      </c>
      <c r="P31" s="32">
        <f t="shared" ca="1" si="110"/>
        <v>-14</v>
      </c>
      <c r="Q31" s="32">
        <f t="shared" ca="1" si="3"/>
        <v>-14</v>
      </c>
      <c r="R31" s="195"/>
      <c r="S31" s="33">
        <f t="shared" ref="S31:Y31" ca="1" si="111">COUNTIF(K31, "&lt;30")</f>
        <v>1</v>
      </c>
      <c r="T31" s="33">
        <f t="shared" ca="1" si="111"/>
        <v>1</v>
      </c>
      <c r="U31" s="33">
        <f t="shared" ca="1" si="111"/>
        <v>0</v>
      </c>
      <c r="V31" s="33">
        <f t="shared" ca="1" si="111"/>
        <v>0</v>
      </c>
      <c r="W31" s="33">
        <f t="shared" ca="1" si="111"/>
        <v>0</v>
      </c>
      <c r="X31" s="33">
        <f t="shared" ca="1" si="111"/>
        <v>1</v>
      </c>
      <c r="Y31" s="33">
        <f t="shared" ca="1" si="111"/>
        <v>1</v>
      </c>
      <c r="Z31" s="34">
        <f t="shared" ca="1" si="6"/>
        <v>4</v>
      </c>
    </row>
    <row r="32" spans="1:30" ht="17.399999999999999">
      <c r="A32" s="63">
        <f t="shared" si="0"/>
        <v>29</v>
      </c>
      <c r="B32" s="36" t="s">
        <v>89</v>
      </c>
      <c r="C32" s="23" t="s">
        <v>81</v>
      </c>
      <c r="D32" s="40">
        <v>46283</v>
      </c>
      <c r="E32" s="40">
        <v>46283</v>
      </c>
      <c r="F32" s="28"/>
      <c r="G32" s="24"/>
      <c r="H32" s="28">
        <v>46446</v>
      </c>
      <c r="I32" s="24"/>
      <c r="J32" s="24">
        <v>46352</v>
      </c>
      <c r="K32" s="32">
        <f t="shared" ref="K32:N32" ca="1" si="112">IF(OR($AB$1="",D32=""),"",D32-$AB$1)</f>
        <v>-14</v>
      </c>
      <c r="L32" s="32">
        <f t="shared" ca="1" si="112"/>
        <v>-14</v>
      </c>
      <c r="M32" s="32" t="str">
        <f t="shared" ca="1" si="112"/>
        <v/>
      </c>
      <c r="N32" s="32" t="str">
        <f t="shared" ca="1" si="112"/>
        <v/>
      </c>
      <c r="O32" s="32" t="str">
        <f t="shared" ref="O32:P32" ca="1" si="113">IF(OR($AB$1="",I32=""),"",I32-$AB$1)</f>
        <v/>
      </c>
      <c r="P32" s="32">
        <f t="shared" ca="1" si="113"/>
        <v>55</v>
      </c>
      <c r="Q32" s="32">
        <f t="shared" ca="1" si="3"/>
        <v>55</v>
      </c>
      <c r="R32" s="195"/>
      <c r="S32" s="33">
        <f t="shared" ref="S32:Y32" ca="1" si="114">COUNTIF(K32, "&lt;30")</f>
        <v>1</v>
      </c>
      <c r="T32" s="33">
        <f t="shared" ca="1" si="114"/>
        <v>1</v>
      </c>
      <c r="U32" s="33">
        <f t="shared" ca="1" si="114"/>
        <v>0</v>
      </c>
      <c r="V32" s="33">
        <f t="shared" ca="1" si="114"/>
        <v>0</v>
      </c>
      <c r="W32" s="33">
        <f t="shared" ca="1" si="114"/>
        <v>0</v>
      </c>
      <c r="X32" s="33">
        <f t="shared" ca="1" si="114"/>
        <v>0</v>
      </c>
      <c r="Y32" s="33">
        <f t="shared" ca="1" si="114"/>
        <v>0</v>
      </c>
      <c r="Z32" s="34">
        <f t="shared" ca="1" si="6"/>
        <v>2</v>
      </c>
    </row>
    <row r="33" spans="1:26" ht="17.399999999999999">
      <c r="A33" s="3">
        <f t="shared" si="0"/>
        <v>30</v>
      </c>
      <c r="B33" s="3" t="s">
        <v>90</v>
      </c>
      <c r="C33" s="23" t="s">
        <v>81</v>
      </c>
      <c r="D33" s="28">
        <v>46418</v>
      </c>
      <c r="E33" s="28">
        <v>46418</v>
      </c>
      <c r="F33" s="28"/>
      <c r="G33" s="24"/>
      <c r="H33" s="31">
        <v>46352</v>
      </c>
      <c r="I33" s="24"/>
      <c r="J33" s="24">
        <v>46352</v>
      </c>
      <c r="K33" s="32">
        <f t="shared" ref="K33:N33" ca="1" si="115">IF(OR($AB$1="",D33=""),"",D33-$AB$1)</f>
        <v>121</v>
      </c>
      <c r="L33" s="32">
        <f t="shared" ca="1" si="115"/>
        <v>121</v>
      </c>
      <c r="M33" s="32" t="str">
        <f t="shared" ca="1" si="115"/>
        <v/>
      </c>
      <c r="N33" s="32" t="str">
        <f t="shared" ca="1" si="115"/>
        <v/>
      </c>
      <c r="O33" s="32" t="str">
        <f t="shared" ref="O33:P33" ca="1" si="116">IF(OR($AB$1="",I33=""),"",I33-$AB$1)</f>
        <v/>
      </c>
      <c r="P33" s="32">
        <f t="shared" ca="1" si="116"/>
        <v>55</v>
      </c>
      <c r="Q33" s="32">
        <f t="shared" ca="1" si="3"/>
        <v>55</v>
      </c>
      <c r="R33" s="195"/>
      <c r="S33" s="33">
        <f t="shared" ref="S33:Y33" ca="1" si="117">COUNTIF(K33, "&lt;30")</f>
        <v>0</v>
      </c>
      <c r="T33" s="33">
        <f t="shared" ca="1" si="117"/>
        <v>0</v>
      </c>
      <c r="U33" s="33">
        <f t="shared" ca="1" si="117"/>
        <v>0</v>
      </c>
      <c r="V33" s="33">
        <f t="shared" ca="1" si="117"/>
        <v>0</v>
      </c>
      <c r="W33" s="33">
        <f t="shared" ca="1" si="117"/>
        <v>0</v>
      </c>
      <c r="X33" s="33">
        <f t="shared" ca="1" si="117"/>
        <v>0</v>
      </c>
      <c r="Y33" s="33">
        <f t="shared" ca="1" si="117"/>
        <v>0</v>
      </c>
      <c r="Z33" s="34">
        <f t="shared" ca="1" si="6"/>
        <v>0</v>
      </c>
    </row>
    <row r="34" spans="1:26" ht="17.399999999999999">
      <c r="A34" s="3">
        <f t="shared" si="0"/>
        <v>31</v>
      </c>
      <c r="B34" s="36" t="s">
        <v>91</v>
      </c>
      <c r="C34" s="23" t="s">
        <v>81</v>
      </c>
      <c r="D34" s="24">
        <v>46254</v>
      </c>
      <c r="E34" s="24">
        <v>46254</v>
      </c>
      <c r="F34" s="28"/>
      <c r="G34" s="28"/>
      <c r="H34" s="28">
        <v>46446</v>
      </c>
      <c r="I34" s="28"/>
      <c r="J34" s="75">
        <v>46053</v>
      </c>
      <c r="K34" s="32">
        <f t="shared" ref="K34:N34" ca="1" si="118">IF(OR($AB$1="",D34=""),"",D34-$AB$1)</f>
        <v>-43</v>
      </c>
      <c r="L34" s="32">
        <f t="shared" ca="1" si="118"/>
        <v>-43</v>
      </c>
      <c r="M34" s="32" t="str">
        <f t="shared" ca="1" si="118"/>
        <v/>
      </c>
      <c r="N34" s="32" t="str">
        <f t="shared" ca="1" si="118"/>
        <v/>
      </c>
      <c r="O34" s="32" t="str">
        <f t="shared" ref="O34:P34" ca="1" si="119">IF(OR($AB$1="",I34=""),"",I34-$AB$1)</f>
        <v/>
      </c>
      <c r="P34" s="32">
        <f t="shared" ca="1" si="119"/>
        <v>-244</v>
      </c>
      <c r="Q34" s="32">
        <f t="shared" ca="1" si="3"/>
        <v>-244</v>
      </c>
      <c r="R34" s="195"/>
      <c r="S34" s="33">
        <f t="shared" ref="S34:Y34" ca="1" si="120">COUNTIF(K34, "&lt;30")</f>
        <v>1</v>
      </c>
      <c r="T34" s="33">
        <f t="shared" ca="1" si="120"/>
        <v>1</v>
      </c>
      <c r="U34" s="33">
        <f t="shared" ca="1" si="120"/>
        <v>0</v>
      </c>
      <c r="V34" s="33">
        <f t="shared" ca="1" si="120"/>
        <v>0</v>
      </c>
      <c r="W34" s="33">
        <f t="shared" ca="1" si="120"/>
        <v>0</v>
      </c>
      <c r="X34" s="33">
        <f t="shared" ca="1" si="120"/>
        <v>1</v>
      </c>
      <c r="Y34" s="33">
        <f t="shared" ca="1" si="120"/>
        <v>1</v>
      </c>
      <c r="Z34" s="34">
        <f t="shared" ca="1" si="6"/>
        <v>4</v>
      </c>
    </row>
    <row r="35" spans="1:26" ht="17.399999999999999">
      <c r="A35" s="3">
        <f t="shared" si="0"/>
        <v>32</v>
      </c>
      <c r="B35" s="36" t="s">
        <v>92</v>
      </c>
      <c r="C35" s="23" t="s">
        <v>81</v>
      </c>
      <c r="D35" s="48">
        <v>46229</v>
      </c>
      <c r="E35" s="48">
        <v>46229</v>
      </c>
      <c r="F35" s="28"/>
      <c r="G35" s="28"/>
      <c r="H35" s="28">
        <v>46325</v>
      </c>
      <c r="I35" s="28"/>
      <c r="J35" s="28">
        <v>46418</v>
      </c>
      <c r="K35" s="32">
        <f t="shared" ref="K35:N35" ca="1" si="121">IF(OR($AB$1="",D35=""),"",D35-$AB$1)</f>
        <v>-68</v>
      </c>
      <c r="L35" s="32">
        <f t="shared" ca="1" si="121"/>
        <v>-68</v>
      </c>
      <c r="M35" s="32" t="str">
        <f t="shared" ca="1" si="121"/>
        <v/>
      </c>
      <c r="N35" s="32" t="str">
        <f t="shared" ca="1" si="121"/>
        <v/>
      </c>
      <c r="O35" s="32" t="str">
        <f t="shared" ref="O35:P35" ca="1" si="122">IF(OR($AB$1="",I35=""),"",I35-$AB$1)</f>
        <v/>
      </c>
      <c r="P35" s="32">
        <f t="shared" ca="1" si="122"/>
        <v>121</v>
      </c>
      <c r="Q35" s="32">
        <f t="shared" ca="1" si="3"/>
        <v>121</v>
      </c>
      <c r="R35" s="195"/>
      <c r="S35" s="33">
        <f t="shared" ref="S35:Y35" ca="1" si="123">COUNTIF(K35, "&lt;30")</f>
        <v>1</v>
      </c>
      <c r="T35" s="33">
        <f t="shared" ca="1" si="123"/>
        <v>1</v>
      </c>
      <c r="U35" s="33">
        <f t="shared" ca="1" si="123"/>
        <v>0</v>
      </c>
      <c r="V35" s="33">
        <f t="shared" ca="1" si="123"/>
        <v>0</v>
      </c>
      <c r="W35" s="33">
        <f t="shared" ca="1" si="123"/>
        <v>0</v>
      </c>
      <c r="X35" s="33">
        <f t="shared" ca="1" si="123"/>
        <v>0</v>
      </c>
      <c r="Y35" s="33">
        <f t="shared" ca="1" si="123"/>
        <v>0</v>
      </c>
      <c r="Z35" s="34">
        <f t="shared" ca="1" si="6"/>
        <v>2</v>
      </c>
    </row>
    <row r="36" spans="1:26" ht="17.399999999999999">
      <c r="A36" s="3">
        <f t="shared" si="0"/>
        <v>33</v>
      </c>
      <c r="B36" s="36" t="s">
        <v>93</v>
      </c>
      <c r="C36" s="23" t="s">
        <v>81</v>
      </c>
      <c r="D36" s="40">
        <v>46283</v>
      </c>
      <c r="E36" s="40">
        <v>46283</v>
      </c>
      <c r="F36" s="28"/>
      <c r="G36" s="40"/>
      <c r="H36" s="28">
        <v>46283</v>
      </c>
      <c r="I36" s="40"/>
      <c r="J36" s="40">
        <v>46283</v>
      </c>
      <c r="K36" s="32">
        <f t="shared" ref="K36:N36" ca="1" si="124">IF(OR($AB$1="",D36=""),"",D36-$AB$1)</f>
        <v>-14</v>
      </c>
      <c r="L36" s="32">
        <f t="shared" ca="1" si="124"/>
        <v>-14</v>
      </c>
      <c r="M36" s="32" t="str">
        <f t="shared" ca="1" si="124"/>
        <v/>
      </c>
      <c r="N36" s="32" t="str">
        <f t="shared" ca="1" si="124"/>
        <v/>
      </c>
      <c r="O36" s="32" t="str">
        <f t="shared" ref="O36:P36" ca="1" si="125">IF(OR($AB$1="",I36=""),"",I36-$AB$1)</f>
        <v/>
      </c>
      <c r="P36" s="32">
        <f t="shared" ca="1" si="125"/>
        <v>-14</v>
      </c>
      <c r="Q36" s="32">
        <f t="shared" ca="1" si="3"/>
        <v>-14</v>
      </c>
      <c r="R36" s="195"/>
      <c r="S36" s="33">
        <f t="shared" ref="S36:Y36" ca="1" si="126">COUNTIF(K36, "&lt;30")</f>
        <v>1</v>
      </c>
      <c r="T36" s="33">
        <f t="shared" ca="1" si="126"/>
        <v>1</v>
      </c>
      <c r="U36" s="33">
        <f t="shared" ca="1" si="126"/>
        <v>0</v>
      </c>
      <c r="V36" s="33">
        <f t="shared" ca="1" si="126"/>
        <v>0</v>
      </c>
      <c r="W36" s="33">
        <f t="shared" ca="1" si="126"/>
        <v>0</v>
      </c>
      <c r="X36" s="33">
        <f t="shared" ca="1" si="126"/>
        <v>1</v>
      </c>
      <c r="Y36" s="33">
        <f t="shared" ca="1" si="126"/>
        <v>1</v>
      </c>
      <c r="Z36" s="34">
        <f t="shared" ca="1" si="6"/>
        <v>4</v>
      </c>
    </row>
    <row r="37" spans="1:26" ht="17.399999999999999">
      <c r="A37" s="63">
        <f t="shared" si="0"/>
        <v>34</v>
      </c>
      <c r="B37" s="36" t="s">
        <v>94</v>
      </c>
      <c r="C37" s="23" t="s">
        <v>81</v>
      </c>
      <c r="D37" s="40">
        <v>46283</v>
      </c>
      <c r="E37" s="40">
        <v>46283</v>
      </c>
      <c r="F37" s="28"/>
      <c r="G37" s="24"/>
      <c r="H37" s="28">
        <v>46292</v>
      </c>
      <c r="I37" s="24"/>
      <c r="J37" s="24">
        <v>46352</v>
      </c>
      <c r="K37" s="32">
        <f t="shared" ref="K37:N37" ca="1" si="127">IF(OR($AB$1="",D37=""),"",D37-$AB$1)</f>
        <v>-14</v>
      </c>
      <c r="L37" s="32">
        <f t="shared" ca="1" si="127"/>
        <v>-14</v>
      </c>
      <c r="M37" s="32" t="str">
        <f t="shared" ca="1" si="127"/>
        <v/>
      </c>
      <c r="N37" s="32" t="str">
        <f t="shared" ca="1" si="127"/>
        <v/>
      </c>
      <c r="O37" s="32" t="str">
        <f t="shared" ref="O37:P37" ca="1" si="128">IF(OR($AB$1="",I37=""),"",I37-$AB$1)</f>
        <v/>
      </c>
      <c r="P37" s="32">
        <f t="shared" ca="1" si="128"/>
        <v>55</v>
      </c>
      <c r="Q37" s="32">
        <f t="shared" ca="1" si="3"/>
        <v>55</v>
      </c>
      <c r="R37" s="195"/>
      <c r="S37" s="33">
        <f t="shared" ref="S37:Y37" ca="1" si="129">COUNTIF(K37, "&lt;30")</f>
        <v>1</v>
      </c>
      <c r="T37" s="33">
        <f t="shared" ca="1" si="129"/>
        <v>1</v>
      </c>
      <c r="U37" s="33">
        <f t="shared" ca="1" si="129"/>
        <v>0</v>
      </c>
      <c r="V37" s="33">
        <f t="shared" ca="1" si="129"/>
        <v>0</v>
      </c>
      <c r="W37" s="33">
        <f t="shared" ca="1" si="129"/>
        <v>0</v>
      </c>
      <c r="X37" s="33">
        <f t="shared" ca="1" si="129"/>
        <v>0</v>
      </c>
      <c r="Y37" s="33">
        <f t="shared" ca="1" si="129"/>
        <v>0</v>
      </c>
      <c r="Z37" s="34">
        <f t="shared" ca="1" si="6"/>
        <v>2</v>
      </c>
    </row>
    <row r="38" spans="1:26" ht="17.399999999999999">
      <c r="A38" s="3">
        <f t="shared" si="0"/>
        <v>35</v>
      </c>
      <c r="B38" s="36" t="s">
        <v>95</v>
      </c>
      <c r="C38" s="23" t="s">
        <v>81</v>
      </c>
      <c r="D38" s="28">
        <v>46292</v>
      </c>
      <c r="E38" s="28">
        <v>46292</v>
      </c>
      <c r="F38" s="31"/>
      <c r="G38" s="28"/>
      <c r="H38" s="28">
        <v>46325</v>
      </c>
      <c r="I38" s="28"/>
      <c r="J38" s="28">
        <v>46325</v>
      </c>
      <c r="K38" s="32">
        <f t="shared" ref="K38:N38" ca="1" si="130">IF(OR($AB$1="",D38=""),"",D38-$AB$1)</f>
        <v>-5</v>
      </c>
      <c r="L38" s="32">
        <f t="shared" ca="1" si="130"/>
        <v>-5</v>
      </c>
      <c r="M38" s="32" t="str">
        <f t="shared" ca="1" si="130"/>
        <v/>
      </c>
      <c r="N38" s="32" t="str">
        <f t="shared" ca="1" si="130"/>
        <v/>
      </c>
      <c r="O38" s="32" t="str">
        <f t="shared" ref="O38:P38" ca="1" si="131">IF(OR($AB$1="",I38=""),"",I38-$AB$1)</f>
        <v/>
      </c>
      <c r="P38" s="32">
        <f t="shared" ca="1" si="131"/>
        <v>28</v>
      </c>
      <c r="Q38" s="32">
        <f t="shared" ca="1" si="3"/>
        <v>28</v>
      </c>
      <c r="R38" s="195"/>
      <c r="S38" s="33">
        <f t="shared" ref="S38:Y38" ca="1" si="132">COUNTIF(K38, "&lt;30")</f>
        <v>1</v>
      </c>
      <c r="T38" s="33">
        <f t="shared" ca="1" si="132"/>
        <v>1</v>
      </c>
      <c r="U38" s="33">
        <f t="shared" ca="1" si="132"/>
        <v>0</v>
      </c>
      <c r="V38" s="33">
        <f t="shared" ca="1" si="132"/>
        <v>0</v>
      </c>
      <c r="W38" s="33">
        <f t="shared" ca="1" si="132"/>
        <v>0</v>
      </c>
      <c r="X38" s="33">
        <f t="shared" ca="1" si="132"/>
        <v>1</v>
      </c>
      <c r="Y38" s="33">
        <f t="shared" ca="1" si="132"/>
        <v>1</v>
      </c>
      <c r="Z38" s="34">
        <f t="shared" ca="1" si="6"/>
        <v>4</v>
      </c>
    </row>
    <row r="39" spans="1:26" ht="17.399999999999999">
      <c r="A39" s="3">
        <f t="shared" si="0"/>
        <v>36</v>
      </c>
      <c r="B39" s="36" t="s">
        <v>96</v>
      </c>
      <c r="C39" s="23" t="s">
        <v>81</v>
      </c>
      <c r="D39" s="28">
        <v>46292</v>
      </c>
      <c r="E39" s="28">
        <v>46292</v>
      </c>
      <c r="F39" s="31"/>
      <c r="G39" s="42"/>
      <c r="H39" s="28">
        <v>46292</v>
      </c>
      <c r="I39" s="42"/>
      <c r="J39" s="42">
        <v>46376</v>
      </c>
      <c r="K39" s="32">
        <f t="shared" ref="K39:N39" ca="1" si="133">IF(OR($AB$1="",D39=""),"",D39-$AB$1)</f>
        <v>-5</v>
      </c>
      <c r="L39" s="32">
        <f t="shared" ca="1" si="133"/>
        <v>-5</v>
      </c>
      <c r="M39" s="32" t="str">
        <f t="shared" ca="1" si="133"/>
        <v/>
      </c>
      <c r="N39" s="32" t="str">
        <f t="shared" ca="1" si="133"/>
        <v/>
      </c>
      <c r="O39" s="32" t="str">
        <f t="shared" ref="O39:P39" ca="1" si="134">IF(OR($AB$1="",I39=""),"",I39-$AB$1)</f>
        <v/>
      </c>
      <c r="P39" s="32">
        <f t="shared" ca="1" si="134"/>
        <v>79</v>
      </c>
      <c r="Q39" s="32">
        <f t="shared" ca="1" si="3"/>
        <v>79</v>
      </c>
      <c r="R39" s="195"/>
      <c r="S39" s="33">
        <f t="shared" ref="S39:Y39" ca="1" si="135">COUNTIF(K39, "&lt;30")</f>
        <v>1</v>
      </c>
      <c r="T39" s="33">
        <f t="shared" ca="1" si="135"/>
        <v>1</v>
      </c>
      <c r="U39" s="33">
        <f t="shared" ca="1" si="135"/>
        <v>0</v>
      </c>
      <c r="V39" s="33">
        <f t="shared" ca="1" si="135"/>
        <v>0</v>
      </c>
      <c r="W39" s="33">
        <f t="shared" ca="1" si="135"/>
        <v>0</v>
      </c>
      <c r="X39" s="33">
        <f t="shared" ca="1" si="135"/>
        <v>0</v>
      </c>
      <c r="Y39" s="33">
        <f t="shared" ca="1" si="135"/>
        <v>0</v>
      </c>
      <c r="Z39" s="34">
        <f t="shared" ca="1" si="6"/>
        <v>2</v>
      </c>
    </row>
    <row r="40" spans="1:26" ht="17.399999999999999">
      <c r="A40" s="3">
        <f t="shared" si="0"/>
        <v>37</v>
      </c>
      <c r="B40" s="3" t="s">
        <v>97</v>
      </c>
      <c r="C40" s="23" t="s">
        <v>81</v>
      </c>
      <c r="D40" s="28">
        <v>46446</v>
      </c>
      <c r="E40" s="28">
        <v>46446</v>
      </c>
      <c r="F40" s="31"/>
      <c r="G40" s="28"/>
      <c r="H40" s="28">
        <v>46292</v>
      </c>
      <c r="I40" s="28"/>
      <c r="J40" s="28">
        <v>46325</v>
      </c>
      <c r="K40" s="32">
        <f t="shared" ref="K40:N40" ca="1" si="136">IF(OR($AB$1="",D40=""),"",D40-$AB$1)</f>
        <v>149</v>
      </c>
      <c r="L40" s="32">
        <f t="shared" ca="1" si="136"/>
        <v>149</v>
      </c>
      <c r="M40" s="32" t="str">
        <f t="shared" ca="1" si="136"/>
        <v/>
      </c>
      <c r="N40" s="32" t="str">
        <f t="shared" ca="1" si="136"/>
        <v/>
      </c>
      <c r="O40" s="32" t="str">
        <f t="shared" ref="O40:P40" ca="1" si="137">IF(OR($AB$1="",I40=""),"",I40-$AB$1)</f>
        <v/>
      </c>
      <c r="P40" s="32">
        <f t="shared" ca="1" si="137"/>
        <v>28</v>
      </c>
      <c r="Q40" s="32">
        <f t="shared" ca="1" si="3"/>
        <v>28</v>
      </c>
      <c r="R40" s="195"/>
      <c r="S40" s="33">
        <f t="shared" ref="S40:Y40" ca="1" si="138">COUNTIF(K40, "&lt;30")</f>
        <v>0</v>
      </c>
      <c r="T40" s="33">
        <f t="shared" ca="1" si="138"/>
        <v>0</v>
      </c>
      <c r="U40" s="33">
        <f t="shared" ca="1" si="138"/>
        <v>0</v>
      </c>
      <c r="V40" s="33">
        <f t="shared" ca="1" si="138"/>
        <v>0</v>
      </c>
      <c r="W40" s="33">
        <f t="shared" ca="1" si="138"/>
        <v>0</v>
      </c>
      <c r="X40" s="33">
        <f t="shared" ca="1" si="138"/>
        <v>1</v>
      </c>
      <c r="Y40" s="33">
        <f t="shared" ca="1" si="138"/>
        <v>1</v>
      </c>
      <c r="Z40" s="34">
        <f t="shared" ca="1" si="6"/>
        <v>2</v>
      </c>
    </row>
    <row r="41" spans="1:26" ht="17.399999999999999">
      <c r="A41" s="3">
        <f t="shared" si="0"/>
        <v>38</v>
      </c>
      <c r="B41" s="36" t="s">
        <v>98</v>
      </c>
      <c r="C41" s="23" t="s">
        <v>81</v>
      </c>
      <c r="D41" s="28">
        <v>46292</v>
      </c>
      <c r="E41" s="28">
        <v>46292</v>
      </c>
      <c r="F41" s="28"/>
      <c r="G41" s="28"/>
      <c r="H41" s="28">
        <v>46446</v>
      </c>
      <c r="I41" s="28"/>
      <c r="J41" s="28">
        <v>46446</v>
      </c>
      <c r="K41" s="32">
        <f t="shared" ref="K41:N41" ca="1" si="139">IF(OR($AB$1="",D41=""),"",D41-$AB$1)</f>
        <v>-5</v>
      </c>
      <c r="L41" s="32">
        <f t="shared" ca="1" si="139"/>
        <v>-5</v>
      </c>
      <c r="M41" s="32" t="str">
        <f t="shared" ca="1" si="139"/>
        <v/>
      </c>
      <c r="N41" s="32" t="str">
        <f t="shared" ca="1" si="139"/>
        <v/>
      </c>
      <c r="O41" s="32" t="str">
        <f t="shared" ref="O41:P41" ca="1" si="140">IF(OR($AB$1="",I41=""),"",I41-$AB$1)</f>
        <v/>
      </c>
      <c r="P41" s="32">
        <f t="shared" ca="1" si="140"/>
        <v>149</v>
      </c>
      <c r="Q41" s="32">
        <f t="shared" ca="1" si="3"/>
        <v>149</v>
      </c>
      <c r="R41" s="195"/>
      <c r="S41" s="33">
        <f t="shared" ref="S41:Y41" ca="1" si="141">COUNTIF(K41, "&lt;30")</f>
        <v>1</v>
      </c>
      <c r="T41" s="33">
        <f t="shared" ca="1" si="141"/>
        <v>1</v>
      </c>
      <c r="U41" s="33">
        <f t="shared" ca="1" si="141"/>
        <v>0</v>
      </c>
      <c r="V41" s="33">
        <f t="shared" ca="1" si="141"/>
        <v>0</v>
      </c>
      <c r="W41" s="33">
        <f t="shared" ca="1" si="141"/>
        <v>0</v>
      </c>
      <c r="X41" s="33">
        <f t="shared" ca="1" si="141"/>
        <v>0</v>
      </c>
      <c r="Y41" s="33">
        <f t="shared" ca="1" si="141"/>
        <v>0</v>
      </c>
      <c r="Z41" s="34">
        <f t="shared" ca="1" si="6"/>
        <v>2</v>
      </c>
    </row>
    <row r="42" spans="1:26" ht="17.399999999999999">
      <c r="A42" s="63">
        <f t="shared" si="0"/>
        <v>39</v>
      </c>
      <c r="B42" s="36" t="s">
        <v>99</v>
      </c>
      <c r="C42" s="23" t="s">
        <v>81</v>
      </c>
      <c r="D42" s="28">
        <v>46446</v>
      </c>
      <c r="E42" s="28">
        <v>46446</v>
      </c>
      <c r="F42" s="28"/>
      <c r="G42" s="28"/>
      <c r="H42" s="28">
        <v>46325</v>
      </c>
      <c r="I42" s="28"/>
      <c r="J42" s="28">
        <v>46325</v>
      </c>
      <c r="K42" s="32">
        <f t="shared" ref="K42:L42" ca="1" si="142">IF(OR($AB$1="",D42=""),"",D42-$AB$1)</f>
        <v>149</v>
      </c>
      <c r="L42" s="32">
        <f t="shared" ca="1" si="142"/>
        <v>149</v>
      </c>
      <c r="M42" s="32"/>
      <c r="N42" s="32"/>
      <c r="O42" s="32"/>
      <c r="P42" s="32">
        <f t="shared" ref="P42:P43" ca="1" si="143">IF(OR($AB$1="",J42=""),"",J42-$AB$1)</f>
        <v>28</v>
      </c>
      <c r="Q42" s="32">
        <f t="shared" ca="1" si="3"/>
        <v>28</v>
      </c>
      <c r="R42" s="195"/>
      <c r="S42" s="33">
        <f t="shared" ref="S42:Y42" ca="1" si="144">COUNTIF(K42, "&lt;30")</f>
        <v>0</v>
      </c>
      <c r="T42" s="33">
        <f t="shared" ca="1" si="144"/>
        <v>0</v>
      </c>
      <c r="U42" s="33">
        <f t="shared" si="144"/>
        <v>0</v>
      </c>
      <c r="V42" s="33">
        <f t="shared" si="144"/>
        <v>0</v>
      </c>
      <c r="W42" s="33">
        <f t="shared" si="144"/>
        <v>0</v>
      </c>
      <c r="X42" s="33">
        <f t="shared" ca="1" si="144"/>
        <v>1</v>
      </c>
      <c r="Y42" s="33">
        <f t="shared" ca="1" si="144"/>
        <v>1</v>
      </c>
      <c r="Z42" s="34">
        <f t="shared" ca="1" si="6"/>
        <v>2</v>
      </c>
    </row>
    <row r="43" spans="1:26" ht="17.399999999999999">
      <c r="A43" s="3">
        <f t="shared" si="0"/>
        <v>40</v>
      </c>
      <c r="B43" s="36" t="s">
        <v>100</v>
      </c>
      <c r="C43" s="23" t="s">
        <v>81</v>
      </c>
      <c r="D43" s="28">
        <v>46446</v>
      </c>
      <c r="E43" s="28">
        <v>46446</v>
      </c>
      <c r="F43" s="31"/>
      <c r="G43" s="28"/>
      <c r="H43" s="28">
        <v>46292</v>
      </c>
      <c r="I43" s="28"/>
      <c r="J43" s="28">
        <v>46292</v>
      </c>
      <c r="K43" s="32">
        <f t="shared" ref="K43:L43" ca="1" si="145">IF(OR($AB$1="",D43=""),"",D43-$AB$1)</f>
        <v>149</v>
      </c>
      <c r="L43" s="32">
        <f t="shared" ca="1" si="145"/>
        <v>149</v>
      </c>
      <c r="M43" s="32"/>
      <c r="N43" s="32"/>
      <c r="O43" s="32"/>
      <c r="P43" s="32">
        <f t="shared" ca="1" si="143"/>
        <v>-5</v>
      </c>
      <c r="Q43" s="32">
        <f t="shared" ca="1" si="3"/>
        <v>-5</v>
      </c>
      <c r="R43" s="195"/>
      <c r="S43" s="33"/>
      <c r="T43" s="33"/>
      <c r="U43" s="33"/>
      <c r="V43" s="33"/>
      <c r="W43" s="33"/>
      <c r="X43" s="33"/>
      <c r="Y43" s="33"/>
      <c r="Z43" s="34"/>
    </row>
    <row r="44" spans="1:26" ht="17.399999999999999">
      <c r="A44" s="3">
        <f t="shared" si="0"/>
        <v>41</v>
      </c>
      <c r="B44" s="36" t="s">
        <v>101</v>
      </c>
      <c r="C44" s="77" t="s">
        <v>102</v>
      </c>
      <c r="D44" s="28">
        <v>46446</v>
      </c>
      <c r="E44" s="28">
        <v>46446</v>
      </c>
      <c r="F44" s="28"/>
      <c r="G44" s="28"/>
      <c r="H44" s="28">
        <v>46418</v>
      </c>
      <c r="I44" s="28"/>
      <c r="J44" s="28">
        <v>46418</v>
      </c>
      <c r="K44" s="32">
        <f t="shared" ref="K44:N44" ca="1" si="146">IF(OR($AB$1="",D44=""),"",D44-$AB$1)</f>
        <v>149</v>
      </c>
      <c r="L44" s="32">
        <f t="shared" ca="1" si="146"/>
        <v>149</v>
      </c>
      <c r="M44" s="32" t="str">
        <f t="shared" ca="1" si="146"/>
        <v/>
      </c>
      <c r="N44" s="32" t="str">
        <f t="shared" ca="1" si="146"/>
        <v/>
      </c>
      <c r="O44" s="32" t="str">
        <f t="shared" ref="O44:P44" ca="1" si="147">IF(OR($AB$1="",I44=""),"",I44-$AB$1)</f>
        <v/>
      </c>
      <c r="P44" s="32">
        <f t="shared" ca="1" si="147"/>
        <v>121</v>
      </c>
      <c r="Q44" s="32">
        <f t="shared" ca="1" si="3"/>
        <v>121</v>
      </c>
      <c r="R44" s="195"/>
      <c r="S44" s="33">
        <f t="shared" ref="S44:Y44" ca="1" si="148">COUNTIF(K44, "&lt;30")</f>
        <v>0</v>
      </c>
      <c r="T44" s="33">
        <f t="shared" ca="1" si="148"/>
        <v>0</v>
      </c>
      <c r="U44" s="33">
        <f t="shared" ca="1" si="148"/>
        <v>0</v>
      </c>
      <c r="V44" s="33">
        <f t="shared" ca="1" si="148"/>
        <v>0</v>
      </c>
      <c r="W44" s="33">
        <f t="shared" ca="1" si="148"/>
        <v>0</v>
      </c>
      <c r="X44" s="33">
        <f t="shared" ca="1" si="148"/>
        <v>0</v>
      </c>
      <c r="Y44" s="33">
        <f t="shared" ca="1" si="148"/>
        <v>0</v>
      </c>
      <c r="Z44" s="34">
        <f t="shared" ref="Z44:Z86" ca="1" si="149">COUNTIF(S44:Y44, "&gt;0")</f>
        <v>0</v>
      </c>
    </row>
    <row r="45" spans="1:26" ht="17.399999999999999">
      <c r="A45" s="3">
        <f t="shared" si="0"/>
        <v>42</v>
      </c>
      <c r="B45" s="78" t="s">
        <v>103</v>
      </c>
      <c r="C45" s="77" t="s">
        <v>102</v>
      </c>
      <c r="D45" s="28">
        <v>46325</v>
      </c>
      <c r="E45" s="28">
        <v>46325</v>
      </c>
      <c r="F45" s="40"/>
      <c r="G45" s="28"/>
      <c r="H45" s="28">
        <v>46325</v>
      </c>
      <c r="I45" s="28"/>
      <c r="J45" s="28">
        <v>46325</v>
      </c>
      <c r="K45" s="32">
        <f t="shared" ref="K45:N45" ca="1" si="150">IF(OR($AB$1="",D45=""),"",D45-$AB$1)</f>
        <v>28</v>
      </c>
      <c r="L45" s="32">
        <f t="shared" ca="1" si="150"/>
        <v>28</v>
      </c>
      <c r="M45" s="32" t="str">
        <f t="shared" ca="1" si="150"/>
        <v/>
      </c>
      <c r="N45" s="32" t="str">
        <f t="shared" ca="1" si="150"/>
        <v/>
      </c>
      <c r="O45" s="32" t="str">
        <f t="shared" ref="O45:P45" ca="1" si="151">IF(OR($AB$1="",I45=""),"",I45-$AB$1)</f>
        <v/>
      </c>
      <c r="P45" s="32">
        <f t="shared" ca="1" si="151"/>
        <v>28</v>
      </c>
      <c r="Q45" s="32">
        <f t="shared" ca="1" si="3"/>
        <v>28</v>
      </c>
      <c r="R45" s="195"/>
      <c r="S45" s="33">
        <f t="shared" ref="S45:Y45" ca="1" si="152">COUNTIF(K45, "&lt;30")</f>
        <v>1</v>
      </c>
      <c r="T45" s="33">
        <f t="shared" ca="1" si="152"/>
        <v>1</v>
      </c>
      <c r="U45" s="33">
        <f t="shared" ca="1" si="152"/>
        <v>0</v>
      </c>
      <c r="V45" s="33">
        <f t="shared" ca="1" si="152"/>
        <v>0</v>
      </c>
      <c r="W45" s="33">
        <f t="shared" ca="1" si="152"/>
        <v>0</v>
      </c>
      <c r="X45" s="33">
        <f t="shared" ca="1" si="152"/>
        <v>1</v>
      </c>
      <c r="Y45" s="33">
        <f t="shared" ca="1" si="152"/>
        <v>1</v>
      </c>
      <c r="Z45" s="34">
        <f t="shared" ca="1" si="149"/>
        <v>4</v>
      </c>
    </row>
    <row r="46" spans="1:26" ht="17.399999999999999">
      <c r="A46" s="3">
        <f t="shared" si="0"/>
        <v>43</v>
      </c>
      <c r="B46" s="78" t="s">
        <v>104</v>
      </c>
      <c r="C46" s="77" t="s">
        <v>102</v>
      </c>
      <c r="D46" s="28">
        <v>46325</v>
      </c>
      <c r="E46" s="28">
        <v>46325</v>
      </c>
      <c r="F46" s="79"/>
      <c r="G46" s="80"/>
      <c r="H46" s="28">
        <v>46325</v>
      </c>
      <c r="I46" s="80"/>
      <c r="J46" s="28">
        <v>46325</v>
      </c>
      <c r="K46" s="32">
        <f t="shared" ref="K46:N46" ca="1" si="153">IF(OR($AB$1="",D46=""),"",D46-$AB$1)</f>
        <v>28</v>
      </c>
      <c r="L46" s="32">
        <f t="shared" ca="1" si="153"/>
        <v>28</v>
      </c>
      <c r="M46" s="32" t="str">
        <f t="shared" ca="1" si="153"/>
        <v/>
      </c>
      <c r="N46" s="32" t="str">
        <f t="shared" ca="1" si="153"/>
        <v/>
      </c>
      <c r="O46" s="32" t="str">
        <f t="shared" ref="O46:P46" ca="1" si="154">IF(OR($AB$1="",I46=""),"",I46-$AB$1)</f>
        <v/>
      </c>
      <c r="P46" s="32">
        <f t="shared" ca="1" si="154"/>
        <v>28</v>
      </c>
      <c r="Q46" s="32">
        <f t="shared" ca="1" si="3"/>
        <v>28</v>
      </c>
      <c r="R46" s="195"/>
      <c r="S46" s="33">
        <f t="shared" ref="S46:Y46" ca="1" si="155">COUNTIF(K46, "&lt;30")</f>
        <v>1</v>
      </c>
      <c r="T46" s="33">
        <f t="shared" ca="1" si="155"/>
        <v>1</v>
      </c>
      <c r="U46" s="33">
        <f t="shared" ca="1" si="155"/>
        <v>0</v>
      </c>
      <c r="V46" s="33">
        <f t="shared" ca="1" si="155"/>
        <v>0</v>
      </c>
      <c r="W46" s="33">
        <f t="shared" ca="1" si="155"/>
        <v>0</v>
      </c>
      <c r="X46" s="33">
        <f t="shared" ca="1" si="155"/>
        <v>1</v>
      </c>
      <c r="Y46" s="33">
        <f t="shared" ca="1" si="155"/>
        <v>1</v>
      </c>
      <c r="Z46" s="34">
        <f t="shared" ca="1" si="149"/>
        <v>4</v>
      </c>
    </row>
    <row r="47" spans="1:26" ht="17.399999999999999">
      <c r="A47" s="63">
        <f t="shared" si="0"/>
        <v>44</v>
      </c>
      <c r="B47" s="78" t="s">
        <v>105</v>
      </c>
      <c r="C47" s="77" t="s">
        <v>102</v>
      </c>
      <c r="D47" s="28">
        <v>46325</v>
      </c>
      <c r="E47" s="28">
        <v>46325</v>
      </c>
      <c r="F47" s="40"/>
      <c r="G47" s="28"/>
      <c r="H47" s="28">
        <v>46325</v>
      </c>
      <c r="I47" s="28"/>
      <c r="J47" s="28">
        <v>46325</v>
      </c>
      <c r="K47" s="32">
        <f t="shared" ref="K47:N47" ca="1" si="156">IF(OR($AB$1="",D47=""),"",D47-$AB$1)</f>
        <v>28</v>
      </c>
      <c r="L47" s="32">
        <f t="shared" ca="1" si="156"/>
        <v>28</v>
      </c>
      <c r="M47" s="32" t="str">
        <f t="shared" ca="1" si="156"/>
        <v/>
      </c>
      <c r="N47" s="32" t="str">
        <f t="shared" ca="1" si="156"/>
        <v/>
      </c>
      <c r="O47" s="32" t="str">
        <f t="shared" ref="O47:P47" ca="1" si="157">IF(OR($AB$1="",I47=""),"",I47-$AB$1)</f>
        <v/>
      </c>
      <c r="P47" s="32">
        <f t="shared" ca="1" si="157"/>
        <v>28</v>
      </c>
      <c r="Q47" s="32">
        <f t="shared" ca="1" si="3"/>
        <v>28</v>
      </c>
      <c r="R47" s="195"/>
      <c r="S47" s="33">
        <f t="shared" ref="S47:Y47" ca="1" si="158">COUNTIF(K47, "&lt;30")</f>
        <v>1</v>
      </c>
      <c r="T47" s="33">
        <f t="shared" ca="1" si="158"/>
        <v>1</v>
      </c>
      <c r="U47" s="33">
        <f t="shared" ca="1" si="158"/>
        <v>0</v>
      </c>
      <c r="V47" s="33">
        <f t="shared" ca="1" si="158"/>
        <v>0</v>
      </c>
      <c r="W47" s="33">
        <f t="shared" ca="1" si="158"/>
        <v>0</v>
      </c>
      <c r="X47" s="33">
        <f t="shared" ca="1" si="158"/>
        <v>1</v>
      </c>
      <c r="Y47" s="33">
        <f t="shared" ca="1" si="158"/>
        <v>1</v>
      </c>
      <c r="Z47" s="34">
        <f t="shared" ca="1" si="149"/>
        <v>4</v>
      </c>
    </row>
    <row r="48" spans="1:26" ht="17.399999999999999">
      <c r="A48" s="3">
        <f t="shared" si="0"/>
        <v>45</v>
      </c>
      <c r="B48" s="78" t="s">
        <v>106</v>
      </c>
      <c r="C48" s="77" t="s">
        <v>102</v>
      </c>
      <c r="D48" s="28"/>
      <c r="E48" s="28"/>
      <c r="F48" s="40">
        <v>46378</v>
      </c>
      <c r="G48" s="40">
        <v>46378</v>
      </c>
      <c r="H48" s="35"/>
      <c r="I48" s="40">
        <v>46378</v>
      </c>
      <c r="J48" s="40">
        <v>46378</v>
      </c>
      <c r="K48" s="32" t="str">
        <f t="shared" ref="K48:N48" ca="1" si="159">IF(OR($AB$1="",D48=""),"",D48-$AB$1)</f>
        <v/>
      </c>
      <c r="L48" s="32" t="str">
        <f t="shared" ca="1" si="159"/>
        <v/>
      </c>
      <c r="M48" s="32">
        <f t="shared" ca="1" si="159"/>
        <v>81</v>
      </c>
      <c r="N48" s="32">
        <f t="shared" ca="1" si="159"/>
        <v>81</v>
      </c>
      <c r="O48" s="32">
        <f t="shared" ref="O48:P48" ca="1" si="160">IF(OR($AB$1="",I48=""),"",I48-$AB$1)</f>
        <v>81</v>
      </c>
      <c r="P48" s="32">
        <f t="shared" ca="1" si="160"/>
        <v>81</v>
      </c>
      <c r="Q48" s="32">
        <f t="shared" ca="1" si="3"/>
        <v>81</v>
      </c>
      <c r="R48" s="195"/>
      <c r="S48" s="33">
        <f t="shared" ref="S48:Y48" ca="1" si="161">COUNTIF(K48, "&lt;30")</f>
        <v>0</v>
      </c>
      <c r="T48" s="33">
        <f t="shared" ca="1" si="161"/>
        <v>0</v>
      </c>
      <c r="U48" s="33">
        <f t="shared" ca="1" si="161"/>
        <v>0</v>
      </c>
      <c r="V48" s="33">
        <f t="shared" ca="1" si="161"/>
        <v>0</v>
      </c>
      <c r="W48" s="33">
        <f t="shared" ca="1" si="161"/>
        <v>0</v>
      </c>
      <c r="X48" s="33">
        <f t="shared" ca="1" si="161"/>
        <v>0</v>
      </c>
      <c r="Y48" s="33">
        <f t="shared" ca="1" si="161"/>
        <v>0</v>
      </c>
      <c r="Z48" s="34">
        <f t="shared" ca="1" si="149"/>
        <v>0</v>
      </c>
    </row>
    <row r="49" spans="1:26" ht="17.399999999999999">
      <c r="A49" s="3">
        <f t="shared" si="0"/>
        <v>46</v>
      </c>
      <c r="B49" s="78" t="s">
        <v>107</v>
      </c>
      <c r="C49" s="23" t="s">
        <v>108</v>
      </c>
      <c r="D49" s="81"/>
      <c r="E49" s="28"/>
      <c r="F49" s="28">
        <v>46325</v>
      </c>
      <c r="G49" s="28"/>
      <c r="H49" s="28">
        <v>46325</v>
      </c>
      <c r="I49" s="28">
        <v>46325</v>
      </c>
      <c r="J49" s="28">
        <v>46325</v>
      </c>
      <c r="K49" s="32" t="str">
        <f t="shared" ref="K49:N49" ca="1" si="162">IF(OR($AB$1="",D49=""),"",D49-$AB$1)</f>
        <v/>
      </c>
      <c r="L49" s="32" t="str">
        <f t="shared" ca="1" si="162"/>
        <v/>
      </c>
      <c r="M49" s="32">
        <f t="shared" ca="1" si="162"/>
        <v>28</v>
      </c>
      <c r="N49" s="32" t="str">
        <f t="shared" ca="1" si="162"/>
        <v/>
      </c>
      <c r="O49" s="32">
        <f t="shared" ref="O49:P49" ca="1" si="163">IF(OR($AB$1="",I49=""),"",I49-$AB$1)</f>
        <v>28</v>
      </c>
      <c r="P49" s="32">
        <f t="shared" ca="1" si="163"/>
        <v>28</v>
      </c>
      <c r="Q49" s="32">
        <f t="shared" ca="1" si="3"/>
        <v>28</v>
      </c>
      <c r="R49" s="195"/>
      <c r="S49" s="33">
        <f t="shared" ref="S49:Y49" ca="1" si="164">COUNTIF(K49, "&lt;30")</f>
        <v>0</v>
      </c>
      <c r="T49" s="33">
        <f t="shared" ca="1" si="164"/>
        <v>0</v>
      </c>
      <c r="U49" s="33">
        <f t="shared" ca="1" si="164"/>
        <v>1</v>
      </c>
      <c r="V49" s="33">
        <f t="shared" ca="1" si="164"/>
        <v>0</v>
      </c>
      <c r="W49" s="33">
        <f t="shared" ca="1" si="164"/>
        <v>1</v>
      </c>
      <c r="X49" s="33">
        <f t="shared" ca="1" si="164"/>
        <v>1</v>
      </c>
      <c r="Y49" s="33">
        <f t="shared" ca="1" si="164"/>
        <v>1</v>
      </c>
      <c r="Z49" s="34">
        <f t="shared" ca="1" si="149"/>
        <v>4</v>
      </c>
    </row>
    <row r="50" spans="1:26" ht="17.399999999999999">
      <c r="A50" s="3">
        <f t="shared" si="0"/>
        <v>47</v>
      </c>
      <c r="B50" s="78" t="s">
        <v>109</v>
      </c>
      <c r="C50" s="77" t="s">
        <v>108</v>
      </c>
      <c r="D50" s="40"/>
      <c r="E50" s="40"/>
      <c r="F50" s="40">
        <v>46270</v>
      </c>
      <c r="G50" s="40">
        <v>46270</v>
      </c>
      <c r="H50" s="82"/>
      <c r="I50" s="40">
        <v>46270</v>
      </c>
      <c r="J50" s="40">
        <v>46270</v>
      </c>
      <c r="K50" s="32" t="str">
        <f t="shared" ref="K50:N50" ca="1" si="165">IF(OR($AB$1="",D50=""),"",D50-$AB$1)</f>
        <v/>
      </c>
      <c r="L50" s="32" t="str">
        <f t="shared" ca="1" si="165"/>
        <v/>
      </c>
      <c r="M50" s="32">
        <f t="shared" ca="1" si="165"/>
        <v>-27</v>
      </c>
      <c r="N50" s="32">
        <f t="shared" ca="1" si="165"/>
        <v>-27</v>
      </c>
      <c r="O50" s="32">
        <f t="shared" ref="O50:P50" ca="1" si="166">IF(OR($AB$1="",I50=""),"",I50-$AB$1)</f>
        <v>-27</v>
      </c>
      <c r="P50" s="32">
        <f t="shared" ca="1" si="166"/>
        <v>-27</v>
      </c>
      <c r="Q50" s="32">
        <f t="shared" ca="1" si="3"/>
        <v>-27</v>
      </c>
      <c r="R50" s="195"/>
      <c r="S50" s="33">
        <f t="shared" ref="S50:Y50" ca="1" si="167">COUNTIF(K50, "&lt;30")</f>
        <v>0</v>
      </c>
      <c r="T50" s="33">
        <f t="shared" ca="1" si="167"/>
        <v>0</v>
      </c>
      <c r="U50" s="33">
        <f t="shared" ca="1" si="167"/>
        <v>1</v>
      </c>
      <c r="V50" s="33">
        <f t="shared" ca="1" si="167"/>
        <v>1</v>
      </c>
      <c r="W50" s="33">
        <f t="shared" ca="1" si="167"/>
        <v>1</v>
      </c>
      <c r="X50" s="33">
        <f t="shared" ca="1" si="167"/>
        <v>1</v>
      </c>
      <c r="Y50" s="33">
        <f t="shared" ca="1" si="167"/>
        <v>1</v>
      </c>
      <c r="Z50" s="34">
        <f t="shared" ca="1" si="149"/>
        <v>5</v>
      </c>
    </row>
    <row r="51" spans="1:26" ht="17.399999999999999">
      <c r="A51" s="3">
        <f t="shared" si="0"/>
        <v>48</v>
      </c>
      <c r="B51" s="3" t="s">
        <v>110</v>
      </c>
      <c r="C51" s="23" t="s">
        <v>108</v>
      </c>
      <c r="D51" s="28">
        <v>46446</v>
      </c>
      <c r="E51" s="28">
        <v>46446</v>
      </c>
      <c r="F51" s="28"/>
      <c r="G51" s="28"/>
      <c r="H51" s="28">
        <v>46418</v>
      </c>
      <c r="I51" s="28"/>
      <c r="J51" s="28">
        <v>46418</v>
      </c>
      <c r="K51" s="32">
        <f t="shared" ref="K51:N51" ca="1" si="168">IF(OR($AB$1="",D51=""),"",D51-$AB$1)</f>
        <v>149</v>
      </c>
      <c r="L51" s="32">
        <f t="shared" ca="1" si="168"/>
        <v>149</v>
      </c>
      <c r="M51" s="32" t="str">
        <f t="shared" ca="1" si="168"/>
        <v/>
      </c>
      <c r="N51" s="32" t="str">
        <f t="shared" ca="1" si="168"/>
        <v/>
      </c>
      <c r="O51" s="32" t="str">
        <f t="shared" ref="O51:P51" ca="1" si="169">IF(OR($AB$1="",I51=""),"",I51-$AB$1)</f>
        <v/>
      </c>
      <c r="P51" s="32">
        <f t="shared" ca="1" si="169"/>
        <v>121</v>
      </c>
      <c r="Q51" s="32">
        <f t="shared" ca="1" si="3"/>
        <v>121</v>
      </c>
      <c r="R51" s="195"/>
      <c r="S51" s="33">
        <f t="shared" ref="S51:Y51" ca="1" si="170">COUNTIF(K51, "&lt;30")</f>
        <v>0</v>
      </c>
      <c r="T51" s="33">
        <f t="shared" ca="1" si="170"/>
        <v>0</v>
      </c>
      <c r="U51" s="33">
        <f t="shared" ca="1" si="170"/>
        <v>0</v>
      </c>
      <c r="V51" s="33">
        <f t="shared" ca="1" si="170"/>
        <v>0</v>
      </c>
      <c r="W51" s="33">
        <f t="shared" ca="1" si="170"/>
        <v>0</v>
      </c>
      <c r="X51" s="33">
        <f t="shared" ca="1" si="170"/>
        <v>0</v>
      </c>
      <c r="Y51" s="33">
        <f t="shared" ca="1" si="170"/>
        <v>0</v>
      </c>
      <c r="Z51" s="34">
        <f t="shared" ca="1" si="149"/>
        <v>0</v>
      </c>
    </row>
    <row r="52" spans="1:26" ht="17.399999999999999">
      <c r="A52" s="63">
        <f t="shared" si="0"/>
        <v>49</v>
      </c>
      <c r="B52" s="3" t="s">
        <v>111</v>
      </c>
      <c r="C52" s="23" t="s">
        <v>112</v>
      </c>
      <c r="D52" s="24">
        <v>46254</v>
      </c>
      <c r="E52" s="24">
        <v>46254</v>
      </c>
      <c r="F52" s="24">
        <v>46352</v>
      </c>
      <c r="G52" s="83"/>
      <c r="H52" s="35"/>
      <c r="I52" s="83"/>
      <c r="J52" s="24">
        <v>46352</v>
      </c>
      <c r="K52" s="32">
        <f t="shared" ref="K52:N52" ca="1" si="171">IF(OR($AB$1="",D52=""),"",D52-$AB$1)</f>
        <v>-43</v>
      </c>
      <c r="L52" s="32">
        <f t="shared" ca="1" si="171"/>
        <v>-43</v>
      </c>
      <c r="M52" s="32">
        <f t="shared" ca="1" si="171"/>
        <v>55</v>
      </c>
      <c r="N52" s="32" t="str">
        <f t="shared" ca="1" si="171"/>
        <v/>
      </c>
      <c r="O52" s="32" t="str">
        <f t="shared" ref="O52:P52" ca="1" si="172">IF(OR($AB$1="",I52=""),"",I52-$AB$1)</f>
        <v/>
      </c>
      <c r="P52" s="32">
        <f t="shared" ca="1" si="172"/>
        <v>55</v>
      </c>
      <c r="Q52" s="32">
        <f t="shared" ca="1" si="3"/>
        <v>55</v>
      </c>
      <c r="R52" s="195"/>
      <c r="S52" s="33">
        <f t="shared" ref="S52:Y52" ca="1" si="173">COUNTIF(K52, "&lt;30")</f>
        <v>1</v>
      </c>
      <c r="T52" s="33">
        <f t="shared" ca="1" si="173"/>
        <v>1</v>
      </c>
      <c r="U52" s="33">
        <f t="shared" ca="1" si="173"/>
        <v>0</v>
      </c>
      <c r="V52" s="33">
        <f t="shared" ca="1" si="173"/>
        <v>0</v>
      </c>
      <c r="W52" s="33">
        <f t="shared" ca="1" si="173"/>
        <v>0</v>
      </c>
      <c r="X52" s="33">
        <f t="shared" ca="1" si="173"/>
        <v>0</v>
      </c>
      <c r="Y52" s="33">
        <f t="shared" ca="1" si="173"/>
        <v>0</v>
      </c>
      <c r="Z52" s="34">
        <f t="shared" ca="1" si="149"/>
        <v>2</v>
      </c>
    </row>
    <row r="53" spans="1:26" ht="17.399999999999999">
      <c r="A53" s="3">
        <f t="shared" si="0"/>
        <v>50</v>
      </c>
      <c r="B53" s="3" t="s">
        <v>113</v>
      </c>
      <c r="C53" s="23" t="s">
        <v>112</v>
      </c>
      <c r="D53" s="40">
        <v>46283</v>
      </c>
      <c r="E53" s="40">
        <v>46283</v>
      </c>
      <c r="F53" s="42">
        <v>46376</v>
      </c>
      <c r="G53" s="82"/>
      <c r="H53" s="84"/>
      <c r="I53" s="82"/>
      <c r="J53" s="28">
        <v>46446</v>
      </c>
      <c r="K53" s="32">
        <f t="shared" ref="K53:N53" ca="1" si="174">IF(OR($AB$1="",D53=""),"",D53-$AB$1)</f>
        <v>-14</v>
      </c>
      <c r="L53" s="32">
        <f t="shared" ca="1" si="174"/>
        <v>-14</v>
      </c>
      <c r="M53" s="32">
        <f t="shared" ca="1" si="174"/>
        <v>79</v>
      </c>
      <c r="N53" s="32" t="str">
        <f t="shared" ca="1" si="174"/>
        <v/>
      </c>
      <c r="O53" s="32" t="str">
        <f t="shared" ref="O53:P53" ca="1" si="175">IF(OR($AB$1="",I53=""),"",I53-$AB$1)</f>
        <v/>
      </c>
      <c r="P53" s="32">
        <f t="shared" ca="1" si="175"/>
        <v>149</v>
      </c>
      <c r="Q53" s="32">
        <f t="shared" ca="1" si="3"/>
        <v>149</v>
      </c>
      <c r="R53" s="195"/>
      <c r="S53" s="33">
        <f t="shared" ref="S53:Y53" ca="1" si="176">COUNTIF(K53, "&lt;30")</f>
        <v>1</v>
      </c>
      <c r="T53" s="33">
        <f t="shared" ca="1" si="176"/>
        <v>1</v>
      </c>
      <c r="U53" s="33">
        <f t="shared" ca="1" si="176"/>
        <v>0</v>
      </c>
      <c r="V53" s="33">
        <f t="shared" ca="1" si="176"/>
        <v>0</v>
      </c>
      <c r="W53" s="33">
        <f t="shared" ca="1" si="176"/>
        <v>0</v>
      </c>
      <c r="X53" s="33">
        <f t="shared" ca="1" si="176"/>
        <v>0</v>
      </c>
      <c r="Y53" s="33">
        <f t="shared" ca="1" si="176"/>
        <v>0</v>
      </c>
      <c r="Z53" s="34">
        <f t="shared" ca="1" si="149"/>
        <v>2</v>
      </c>
    </row>
    <row r="54" spans="1:26" ht="17.399999999999999">
      <c r="A54" s="3">
        <f t="shared" si="0"/>
        <v>51</v>
      </c>
      <c r="B54" s="3" t="s">
        <v>114</v>
      </c>
      <c r="C54" s="23" t="s">
        <v>112</v>
      </c>
      <c r="D54" s="28">
        <v>46446</v>
      </c>
      <c r="E54" s="28">
        <v>46446</v>
      </c>
      <c r="F54" s="48">
        <v>46229</v>
      </c>
      <c r="G54" s="28"/>
      <c r="H54" s="80" t="s">
        <v>115</v>
      </c>
      <c r="I54" s="28"/>
      <c r="J54" s="48">
        <v>46229</v>
      </c>
      <c r="K54" s="32">
        <f t="shared" ref="K54:N54" ca="1" si="177">IF(OR($AB$1="",D54=""),"",D54-$AB$1)</f>
        <v>149</v>
      </c>
      <c r="L54" s="32">
        <f t="shared" ca="1" si="177"/>
        <v>149</v>
      </c>
      <c r="M54" s="32">
        <f t="shared" ca="1" si="177"/>
        <v>-68</v>
      </c>
      <c r="N54" s="32" t="str">
        <f t="shared" ca="1" si="177"/>
        <v/>
      </c>
      <c r="O54" s="32" t="str">
        <f t="shared" ref="O54:P54" ca="1" si="178">IF(OR($AB$1="",I54=""),"",I54-$AB$1)</f>
        <v/>
      </c>
      <c r="P54" s="32">
        <f t="shared" ca="1" si="178"/>
        <v>-68</v>
      </c>
      <c r="Q54" s="32">
        <f t="shared" ca="1" si="3"/>
        <v>-68</v>
      </c>
      <c r="R54" s="195"/>
      <c r="S54" s="33">
        <f t="shared" ref="S54:Y54" ca="1" si="179">COUNTIF(K54, "&lt;30")</f>
        <v>0</v>
      </c>
      <c r="T54" s="33">
        <f t="shared" ca="1" si="179"/>
        <v>0</v>
      </c>
      <c r="U54" s="33">
        <f t="shared" ca="1" si="179"/>
        <v>1</v>
      </c>
      <c r="V54" s="33">
        <f t="shared" ca="1" si="179"/>
        <v>0</v>
      </c>
      <c r="W54" s="33">
        <f t="shared" ca="1" si="179"/>
        <v>0</v>
      </c>
      <c r="X54" s="33">
        <f t="shared" ca="1" si="179"/>
        <v>1</v>
      </c>
      <c r="Y54" s="33">
        <f t="shared" ca="1" si="179"/>
        <v>1</v>
      </c>
      <c r="Z54" s="34">
        <f t="shared" ca="1" si="149"/>
        <v>3</v>
      </c>
    </row>
    <row r="55" spans="1:26" ht="17.399999999999999">
      <c r="A55" s="3">
        <f t="shared" si="0"/>
        <v>52</v>
      </c>
      <c r="B55" s="3" t="s">
        <v>116</v>
      </c>
      <c r="C55" s="23" t="s">
        <v>117</v>
      </c>
      <c r="D55" s="28">
        <v>46325</v>
      </c>
      <c r="E55" s="28">
        <v>46325</v>
      </c>
      <c r="F55" s="28"/>
      <c r="G55" s="28"/>
      <c r="H55" s="28">
        <v>46325</v>
      </c>
      <c r="I55" s="28"/>
      <c r="J55" s="28">
        <v>46325</v>
      </c>
      <c r="K55" s="32">
        <f t="shared" ref="K55:N55" ca="1" si="180">IF(OR($AB$1="",D55=""),"",D55-$AB$1)</f>
        <v>28</v>
      </c>
      <c r="L55" s="32">
        <f t="shared" ca="1" si="180"/>
        <v>28</v>
      </c>
      <c r="M55" s="32" t="str">
        <f t="shared" ca="1" si="180"/>
        <v/>
      </c>
      <c r="N55" s="32" t="str">
        <f t="shared" ca="1" si="180"/>
        <v/>
      </c>
      <c r="O55" s="32" t="str">
        <f t="shared" ref="O55:P55" ca="1" si="181">IF(OR($AB$1="",I55=""),"",I55-$AB$1)</f>
        <v/>
      </c>
      <c r="P55" s="32">
        <f t="shared" ca="1" si="181"/>
        <v>28</v>
      </c>
      <c r="Q55" s="32">
        <f t="shared" ca="1" si="3"/>
        <v>28</v>
      </c>
      <c r="R55" s="195"/>
      <c r="S55" s="33">
        <f t="shared" ref="S55:Y55" ca="1" si="182">COUNTIF(K55, "&lt;30")</f>
        <v>1</v>
      </c>
      <c r="T55" s="33">
        <f t="shared" ca="1" si="182"/>
        <v>1</v>
      </c>
      <c r="U55" s="33">
        <f t="shared" ca="1" si="182"/>
        <v>0</v>
      </c>
      <c r="V55" s="33">
        <f t="shared" ca="1" si="182"/>
        <v>0</v>
      </c>
      <c r="W55" s="33">
        <f t="shared" ca="1" si="182"/>
        <v>0</v>
      </c>
      <c r="X55" s="33">
        <f t="shared" ca="1" si="182"/>
        <v>1</v>
      </c>
      <c r="Y55" s="33">
        <f t="shared" ca="1" si="182"/>
        <v>1</v>
      </c>
      <c r="Z55" s="34">
        <f t="shared" ca="1" si="149"/>
        <v>4</v>
      </c>
    </row>
    <row r="56" spans="1:26" ht="17.399999999999999">
      <c r="A56" s="3">
        <f t="shared" si="0"/>
        <v>53</v>
      </c>
      <c r="B56" s="3" t="s">
        <v>118</v>
      </c>
      <c r="C56" s="23" t="s">
        <v>119</v>
      </c>
      <c r="D56" s="40">
        <v>46283</v>
      </c>
      <c r="E56" s="40">
        <v>46283</v>
      </c>
      <c r="F56" s="28">
        <v>46418</v>
      </c>
      <c r="G56" s="40"/>
      <c r="H56" s="35"/>
      <c r="I56" s="40"/>
      <c r="J56" s="40">
        <v>46283</v>
      </c>
      <c r="K56" s="32">
        <f t="shared" ref="K56:N56" ca="1" si="183">IF(OR($AB$1="",D56=""),"",D56-$AB$1)</f>
        <v>-14</v>
      </c>
      <c r="L56" s="32">
        <f t="shared" ca="1" si="183"/>
        <v>-14</v>
      </c>
      <c r="M56" s="32">
        <f t="shared" ca="1" si="183"/>
        <v>121</v>
      </c>
      <c r="N56" s="32" t="str">
        <f t="shared" ca="1" si="183"/>
        <v/>
      </c>
      <c r="O56" s="32" t="str">
        <f t="shared" ref="O56:P56" ca="1" si="184">IF(OR($AB$1="",I56=""),"",I56-$AB$1)</f>
        <v/>
      </c>
      <c r="P56" s="32">
        <f t="shared" ca="1" si="184"/>
        <v>-14</v>
      </c>
      <c r="Q56" s="32">
        <f t="shared" ca="1" si="3"/>
        <v>-14</v>
      </c>
      <c r="R56" s="195"/>
      <c r="S56" s="33">
        <f t="shared" ref="S56:Y56" ca="1" si="185">COUNTIF(K56, "&lt;30")</f>
        <v>1</v>
      </c>
      <c r="T56" s="33">
        <f t="shared" ca="1" si="185"/>
        <v>1</v>
      </c>
      <c r="U56" s="33">
        <f t="shared" ca="1" si="185"/>
        <v>0</v>
      </c>
      <c r="V56" s="33">
        <f t="shared" ca="1" si="185"/>
        <v>0</v>
      </c>
      <c r="W56" s="33">
        <f t="shared" ca="1" si="185"/>
        <v>0</v>
      </c>
      <c r="X56" s="33">
        <f t="shared" ca="1" si="185"/>
        <v>1</v>
      </c>
      <c r="Y56" s="33">
        <f t="shared" ca="1" si="185"/>
        <v>1</v>
      </c>
      <c r="Z56" s="34">
        <f t="shared" ca="1" si="149"/>
        <v>4</v>
      </c>
    </row>
    <row r="57" spans="1:26" ht="17.399999999999999">
      <c r="A57" s="63">
        <f t="shared" si="0"/>
        <v>54</v>
      </c>
      <c r="B57" s="3" t="s">
        <v>120</v>
      </c>
      <c r="C57" s="23" t="s">
        <v>119</v>
      </c>
      <c r="D57" s="28">
        <v>46446</v>
      </c>
      <c r="E57" s="28">
        <v>46446</v>
      </c>
      <c r="F57" s="28">
        <v>46418</v>
      </c>
      <c r="G57" s="28"/>
      <c r="H57" s="35"/>
      <c r="I57" s="28"/>
      <c r="J57" s="28">
        <v>46418</v>
      </c>
      <c r="K57" s="32">
        <f t="shared" ref="K57:N57" ca="1" si="186">IF(OR($AB$1="",D57=""),"",D57-$AB$1)</f>
        <v>149</v>
      </c>
      <c r="L57" s="32">
        <f t="shared" ca="1" si="186"/>
        <v>149</v>
      </c>
      <c r="M57" s="32">
        <f t="shared" ca="1" si="186"/>
        <v>121</v>
      </c>
      <c r="N57" s="32" t="str">
        <f t="shared" ca="1" si="186"/>
        <v/>
      </c>
      <c r="O57" s="32" t="str">
        <f t="shared" ref="O57:P57" ca="1" si="187">IF(OR($AB$1="",I57=""),"",I57-$AB$1)</f>
        <v/>
      </c>
      <c r="P57" s="32">
        <f t="shared" ca="1" si="187"/>
        <v>121</v>
      </c>
      <c r="Q57" s="32">
        <f t="shared" ca="1" si="3"/>
        <v>121</v>
      </c>
      <c r="R57" s="195"/>
      <c r="S57" s="33">
        <f t="shared" ref="S57:Y57" ca="1" si="188">COUNTIF(K57, "&lt;30")</f>
        <v>0</v>
      </c>
      <c r="T57" s="33">
        <f t="shared" ca="1" si="188"/>
        <v>0</v>
      </c>
      <c r="U57" s="33">
        <f t="shared" ca="1" si="188"/>
        <v>0</v>
      </c>
      <c r="V57" s="33">
        <f t="shared" ca="1" si="188"/>
        <v>0</v>
      </c>
      <c r="W57" s="33">
        <f t="shared" ca="1" si="188"/>
        <v>0</v>
      </c>
      <c r="X57" s="33">
        <f t="shared" ca="1" si="188"/>
        <v>0</v>
      </c>
      <c r="Y57" s="33">
        <f t="shared" ca="1" si="188"/>
        <v>0</v>
      </c>
      <c r="Z57" s="34">
        <f t="shared" ca="1" si="149"/>
        <v>0</v>
      </c>
    </row>
    <row r="58" spans="1:26" ht="17.399999999999999">
      <c r="A58" s="3">
        <f t="shared" si="0"/>
        <v>55</v>
      </c>
      <c r="B58" s="3" t="s">
        <v>121</v>
      </c>
      <c r="C58" s="23" t="s">
        <v>119</v>
      </c>
      <c r="D58" s="28">
        <v>46292</v>
      </c>
      <c r="E58" s="28">
        <v>46292</v>
      </c>
      <c r="F58" s="28">
        <v>46325</v>
      </c>
      <c r="G58" s="82"/>
      <c r="H58" s="37"/>
      <c r="I58" s="82"/>
      <c r="J58" s="42">
        <v>46376</v>
      </c>
      <c r="K58" s="32">
        <f t="shared" ref="K58:N58" ca="1" si="189">IF(OR($AB$1="",D58=""),"",D58-$AB$1)</f>
        <v>-5</v>
      </c>
      <c r="L58" s="32">
        <f t="shared" ca="1" si="189"/>
        <v>-5</v>
      </c>
      <c r="M58" s="32">
        <f t="shared" ca="1" si="189"/>
        <v>28</v>
      </c>
      <c r="N58" s="32" t="str">
        <f t="shared" ca="1" si="189"/>
        <v/>
      </c>
      <c r="O58" s="32" t="str">
        <f t="shared" ref="O58:P58" ca="1" si="190">IF(OR($AB$1="",I58=""),"",I58-$AB$1)</f>
        <v/>
      </c>
      <c r="P58" s="32">
        <f t="shared" ca="1" si="190"/>
        <v>79</v>
      </c>
      <c r="Q58" s="32">
        <f t="shared" ca="1" si="3"/>
        <v>79</v>
      </c>
      <c r="R58" s="195"/>
      <c r="S58" s="33">
        <f t="shared" ref="S58:Y58" ca="1" si="191">COUNTIF(K58, "&lt;30")</f>
        <v>1</v>
      </c>
      <c r="T58" s="33">
        <f t="shared" ca="1" si="191"/>
        <v>1</v>
      </c>
      <c r="U58" s="33">
        <f t="shared" ca="1" si="191"/>
        <v>1</v>
      </c>
      <c r="V58" s="33">
        <f t="shared" ca="1" si="191"/>
        <v>0</v>
      </c>
      <c r="W58" s="33">
        <f t="shared" ca="1" si="191"/>
        <v>0</v>
      </c>
      <c r="X58" s="33">
        <f t="shared" ca="1" si="191"/>
        <v>0</v>
      </c>
      <c r="Y58" s="33">
        <f t="shared" ca="1" si="191"/>
        <v>0</v>
      </c>
      <c r="Z58" s="34">
        <f t="shared" ca="1" si="149"/>
        <v>3</v>
      </c>
    </row>
    <row r="59" spans="1:26" ht="17.399999999999999">
      <c r="A59" s="3">
        <f t="shared" si="0"/>
        <v>56</v>
      </c>
      <c r="B59" s="85" t="s">
        <v>122</v>
      </c>
      <c r="C59" s="23" t="s">
        <v>112</v>
      </c>
      <c r="D59" s="41"/>
      <c r="E59" s="28"/>
      <c r="F59" s="28">
        <v>46418</v>
      </c>
      <c r="G59" s="28">
        <v>46292</v>
      </c>
      <c r="H59" s="28">
        <v>46292</v>
      </c>
      <c r="I59" s="28">
        <v>46292</v>
      </c>
      <c r="J59" s="28">
        <v>46292</v>
      </c>
      <c r="K59" s="32" t="str">
        <f t="shared" ref="K59:N59" ca="1" si="192">IF(OR($AB$1="",D59=""),"",D59-$AB$1)</f>
        <v/>
      </c>
      <c r="L59" s="32" t="str">
        <f t="shared" ca="1" si="192"/>
        <v/>
      </c>
      <c r="M59" s="32">
        <f t="shared" ca="1" si="192"/>
        <v>121</v>
      </c>
      <c r="N59" s="32">
        <f t="shared" ca="1" si="192"/>
        <v>-5</v>
      </c>
      <c r="O59" s="32">
        <f t="shared" ref="O59:P59" ca="1" si="193">IF(OR($AB$1="",I59=""),"",I59-$AB$1)</f>
        <v>-5</v>
      </c>
      <c r="P59" s="32">
        <f t="shared" ca="1" si="193"/>
        <v>-5</v>
      </c>
      <c r="Q59" s="32">
        <f t="shared" ca="1" si="3"/>
        <v>-5</v>
      </c>
      <c r="R59" s="195"/>
      <c r="S59" s="33">
        <f t="shared" ref="S59:Y59" ca="1" si="194">COUNTIF(K59, "&lt;30")</f>
        <v>0</v>
      </c>
      <c r="T59" s="33">
        <f t="shared" ca="1" si="194"/>
        <v>0</v>
      </c>
      <c r="U59" s="33">
        <f t="shared" ca="1" si="194"/>
        <v>0</v>
      </c>
      <c r="V59" s="33">
        <f t="shared" ca="1" si="194"/>
        <v>1</v>
      </c>
      <c r="W59" s="33">
        <f t="shared" ca="1" si="194"/>
        <v>1</v>
      </c>
      <c r="X59" s="33">
        <f t="shared" ca="1" si="194"/>
        <v>1</v>
      </c>
      <c r="Y59" s="33">
        <f t="shared" ca="1" si="194"/>
        <v>1</v>
      </c>
      <c r="Z59" s="34">
        <f t="shared" ca="1" si="149"/>
        <v>4</v>
      </c>
    </row>
    <row r="60" spans="1:26" ht="17.399999999999999">
      <c r="A60" s="3">
        <f t="shared" si="0"/>
        <v>57</v>
      </c>
      <c r="B60" s="3" t="s">
        <v>123</v>
      </c>
      <c r="C60" s="23" t="s">
        <v>119</v>
      </c>
      <c r="D60" s="28">
        <v>46325</v>
      </c>
      <c r="E60" s="28">
        <v>46325</v>
      </c>
      <c r="F60" s="24">
        <v>46254</v>
      </c>
      <c r="G60" s="83"/>
      <c r="H60" s="35"/>
      <c r="I60" s="83"/>
      <c r="J60" s="24">
        <v>46254</v>
      </c>
      <c r="K60" s="32">
        <f t="shared" ref="K60:N60" ca="1" si="195">IF(OR($AB$1="",D60=""),"",D60-$AB$1)</f>
        <v>28</v>
      </c>
      <c r="L60" s="32">
        <f t="shared" ca="1" si="195"/>
        <v>28</v>
      </c>
      <c r="M60" s="32">
        <f t="shared" ca="1" si="195"/>
        <v>-43</v>
      </c>
      <c r="N60" s="32" t="str">
        <f t="shared" ca="1" si="195"/>
        <v/>
      </c>
      <c r="O60" s="32" t="str">
        <f t="shared" ref="O60:P60" ca="1" si="196">IF(OR($AB$1="",I60=""),"",I60-$AB$1)</f>
        <v/>
      </c>
      <c r="P60" s="32">
        <f t="shared" ca="1" si="196"/>
        <v>-43</v>
      </c>
      <c r="Q60" s="32">
        <f t="shared" ca="1" si="3"/>
        <v>-43</v>
      </c>
      <c r="R60" s="195"/>
      <c r="S60" s="33">
        <f t="shared" ref="S60:Y60" ca="1" si="197">COUNTIF(K60, "&lt;30")</f>
        <v>1</v>
      </c>
      <c r="T60" s="33">
        <f t="shared" ca="1" si="197"/>
        <v>1</v>
      </c>
      <c r="U60" s="33">
        <f t="shared" ca="1" si="197"/>
        <v>1</v>
      </c>
      <c r="V60" s="33">
        <f t="shared" ca="1" si="197"/>
        <v>0</v>
      </c>
      <c r="W60" s="33">
        <f t="shared" ca="1" si="197"/>
        <v>0</v>
      </c>
      <c r="X60" s="33">
        <f t="shared" ca="1" si="197"/>
        <v>1</v>
      </c>
      <c r="Y60" s="33">
        <f t="shared" ca="1" si="197"/>
        <v>1</v>
      </c>
      <c r="Z60" s="34">
        <f t="shared" ca="1" si="149"/>
        <v>5</v>
      </c>
    </row>
    <row r="61" spans="1:26" ht="17.399999999999999">
      <c r="A61" s="3">
        <f t="shared" si="0"/>
        <v>58</v>
      </c>
      <c r="B61" s="3" t="s">
        <v>124</v>
      </c>
      <c r="C61" s="23" t="s">
        <v>119</v>
      </c>
      <c r="D61" s="28">
        <v>46446</v>
      </c>
      <c r="E61" s="28">
        <v>46446</v>
      </c>
      <c r="F61" s="28">
        <v>46418</v>
      </c>
      <c r="G61" s="83"/>
      <c r="H61" s="35"/>
      <c r="I61" s="83"/>
      <c r="J61" s="24">
        <v>46254</v>
      </c>
      <c r="K61" s="32">
        <f t="shared" ref="K61:N61" ca="1" si="198">IF(OR($AB$1="",D61=""),"",D61-$AB$1)</f>
        <v>149</v>
      </c>
      <c r="L61" s="32">
        <f t="shared" ca="1" si="198"/>
        <v>149</v>
      </c>
      <c r="M61" s="32">
        <f t="shared" ca="1" si="198"/>
        <v>121</v>
      </c>
      <c r="N61" s="32" t="str">
        <f t="shared" ca="1" si="198"/>
        <v/>
      </c>
      <c r="O61" s="32" t="str">
        <f t="shared" ref="O61:P61" ca="1" si="199">IF(OR($AB$1="",I61=""),"",I61-$AB$1)</f>
        <v/>
      </c>
      <c r="P61" s="32">
        <f t="shared" ca="1" si="199"/>
        <v>-43</v>
      </c>
      <c r="Q61" s="32">
        <f t="shared" ca="1" si="3"/>
        <v>-43</v>
      </c>
      <c r="R61" s="195"/>
      <c r="S61" s="33">
        <f t="shared" ref="S61:Y61" ca="1" si="200">COUNTIF(K61, "&lt;30")</f>
        <v>0</v>
      </c>
      <c r="T61" s="33">
        <f t="shared" ca="1" si="200"/>
        <v>0</v>
      </c>
      <c r="U61" s="33">
        <f t="shared" ca="1" si="200"/>
        <v>0</v>
      </c>
      <c r="V61" s="33">
        <f t="shared" ca="1" si="200"/>
        <v>0</v>
      </c>
      <c r="W61" s="33">
        <f t="shared" ca="1" si="200"/>
        <v>0</v>
      </c>
      <c r="X61" s="33">
        <f t="shared" ca="1" si="200"/>
        <v>1</v>
      </c>
      <c r="Y61" s="33">
        <f t="shared" ca="1" si="200"/>
        <v>1</v>
      </c>
      <c r="Z61" s="34">
        <f t="shared" ca="1" si="149"/>
        <v>2</v>
      </c>
    </row>
    <row r="62" spans="1:26" ht="17.399999999999999">
      <c r="A62" s="63">
        <f t="shared" si="0"/>
        <v>59</v>
      </c>
      <c r="B62" s="3" t="s">
        <v>125</v>
      </c>
      <c r="C62" s="23" t="s">
        <v>126</v>
      </c>
      <c r="D62" s="28">
        <v>46418</v>
      </c>
      <c r="E62" s="28">
        <v>46418</v>
      </c>
      <c r="F62" s="24">
        <v>46254</v>
      </c>
      <c r="G62" s="40"/>
      <c r="H62" s="35"/>
      <c r="I62" s="40"/>
      <c r="J62" s="40">
        <v>46283</v>
      </c>
      <c r="K62" s="32">
        <f t="shared" ref="K62:N62" ca="1" si="201">IF(OR($AB$1="",D62=""),"",D62-$AB$1)</f>
        <v>121</v>
      </c>
      <c r="L62" s="32">
        <f t="shared" ca="1" si="201"/>
        <v>121</v>
      </c>
      <c r="M62" s="32">
        <f t="shared" ca="1" si="201"/>
        <v>-43</v>
      </c>
      <c r="N62" s="32" t="str">
        <f t="shared" ca="1" si="201"/>
        <v/>
      </c>
      <c r="O62" s="32" t="str">
        <f t="shared" ref="O62:P62" ca="1" si="202">IF(OR($AB$1="",I62=""),"",I62-$AB$1)</f>
        <v/>
      </c>
      <c r="P62" s="32">
        <f t="shared" ca="1" si="202"/>
        <v>-14</v>
      </c>
      <c r="Q62" s="32">
        <f t="shared" ca="1" si="3"/>
        <v>-14</v>
      </c>
      <c r="R62" s="195"/>
      <c r="S62" s="33">
        <f t="shared" ref="S62:Y62" ca="1" si="203">COUNTIF(K62, "&lt;30")</f>
        <v>0</v>
      </c>
      <c r="T62" s="33">
        <f t="shared" ca="1" si="203"/>
        <v>0</v>
      </c>
      <c r="U62" s="33">
        <f t="shared" ca="1" si="203"/>
        <v>1</v>
      </c>
      <c r="V62" s="33">
        <f t="shared" ca="1" si="203"/>
        <v>0</v>
      </c>
      <c r="W62" s="33">
        <f t="shared" ca="1" si="203"/>
        <v>0</v>
      </c>
      <c r="X62" s="33">
        <f t="shared" ca="1" si="203"/>
        <v>1</v>
      </c>
      <c r="Y62" s="33">
        <f t="shared" ca="1" si="203"/>
        <v>1</v>
      </c>
      <c r="Z62" s="34">
        <f t="shared" ca="1" si="149"/>
        <v>3</v>
      </c>
    </row>
    <row r="63" spans="1:26" ht="17.399999999999999">
      <c r="A63" s="3">
        <f t="shared" si="0"/>
        <v>60</v>
      </c>
      <c r="B63" s="3" t="s">
        <v>127</v>
      </c>
      <c r="C63" s="66" t="s">
        <v>119</v>
      </c>
      <c r="D63" s="41"/>
      <c r="E63" s="41"/>
      <c r="F63" s="42">
        <v>46376</v>
      </c>
      <c r="G63" s="42">
        <v>46376</v>
      </c>
      <c r="H63" s="35"/>
      <c r="I63" s="42">
        <v>46376</v>
      </c>
      <c r="J63" s="42">
        <v>46376</v>
      </c>
      <c r="K63" s="32" t="str">
        <f t="shared" ref="K63:N63" ca="1" si="204">IF(OR($AB$1="",D63=""),"",D63-$AB$1)</f>
        <v/>
      </c>
      <c r="L63" s="32" t="str">
        <f t="shared" ca="1" si="204"/>
        <v/>
      </c>
      <c r="M63" s="32">
        <f t="shared" ca="1" si="204"/>
        <v>79</v>
      </c>
      <c r="N63" s="32">
        <f t="shared" ca="1" si="204"/>
        <v>79</v>
      </c>
      <c r="O63" s="32">
        <f t="shared" ref="O63:P63" ca="1" si="205">IF(OR($AB$1="",I63=""),"",I63-$AB$1)</f>
        <v>79</v>
      </c>
      <c r="P63" s="32">
        <f t="shared" ca="1" si="205"/>
        <v>79</v>
      </c>
      <c r="Q63" s="32">
        <f t="shared" ca="1" si="3"/>
        <v>79</v>
      </c>
      <c r="R63" s="195"/>
      <c r="S63" s="33">
        <f t="shared" ref="S63:Y63" ca="1" si="206">COUNTIF(K63, "&lt;30")</f>
        <v>0</v>
      </c>
      <c r="T63" s="33">
        <f t="shared" ca="1" si="206"/>
        <v>0</v>
      </c>
      <c r="U63" s="33">
        <f t="shared" ca="1" si="206"/>
        <v>0</v>
      </c>
      <c r="V63" s="33">
        <f t="shared" ca="1" si="206"/>
        <v>0</v>
      </c>
      <c r="W63" s="33">
        <f t="shared" ca="1" si="206"/>
        <v>0</v>
      </c>
      <c r="X63" s="33">
        <f t="shared" ca="1" si="206"/>
        <v>0</v>
      </c>
      <c r="Y63" s="33">
        <f t="shared" ca="1" si="206"/>
        <v>0</v>
      </c>
      <c r="Z63" s="34">
        <f t="shared" ca="1" si="149"/>
        <v>0</v>
      </c>
    </row>
    <row r="64" spans="1:26" ht="17.399999999999999">
      <c r="A64" s="3">
        <f t="shared" si="0"/>
        <v>61</v>
      </c>
      <c r="B64" s="3" t="s">
        <v>128</v>
      </c>
      <c r="C64" s="66" t="s">
        <v>119</v>
      </c>
      <c r="D64" s="41"/>
      <c r="E64" s="41"/>
      <c r="F64" s="42">
        <v>46376</v>
      </c>
      <c r="G64" s="42">
        <v>46376</v>
      </c>
      <c r="H64" s="35"/>
      <c r="I64" s="28">
        <v>46418</v>
      </c>
      <c r="J64" s="42">
        <v>46376</v>
      </c>
      <c r="K64" s="32" t="str">
        <f t="shared" ref="K64:N64" ca="1" si="207">IF(OR($AB$1="",D64=""),"",D64-$AB$1)</f>
        <v/>
      </c>
      <c r="L64" s="32" t="str">
        <f t="shared" ca="1" si="207"/>
        <v/>
      </c>
      <c r="M64" s="32">
        <f t="shared" ca="1" si="207"/>
        <v>79</v>
      </c>
      <c r="N64" s="32">
        <f t="shared" ca="1" si="207"/>
        <v>79</v>
      </c>
      <c r="O64" s="32">
        <f t="shared" ref="O64:P64" ca="1" si="208">IF(OR($AB$1="",I64=""),"",I64-$AB$1)</f>
        <v>121</v>
      </c>
      <c r="P64" s="32">
        <f t="shared" ca="1" si="208"/>
        <v>79</v>
      </c>
      <c r="Q64" s="32">
        <f t="shared" ca="1" si="3"/>
        <v>79</v>
      </c>
      <c r="R64" s="195"/>
      <c r="S64" s="33">
        <f t="shared" ref="S64:Y64" ca="1" si="209">COUNTIF(K64, "&lt;30")</f>
        <v>0</v>
      </c>
      <c r="T64" s="33">
        <f t="shared" ca="1" si="209"/>
        <v>0</v>
      </c>
      <c r="U64" s="33">
        <f t="shared" ca="1" si="209"/>
        <v>0</v>
      </c>
      <c r="V64" s="33">
        <f t="shared" ca="1" si="209"/>
        <v>0</v>
      </c>
      <c r="W64" s="33">
        <f t="shared" ca="1" si="209"/>
        <v>0</v>
      </c>
      <c r="X64" s="33">
        <f t="shared" ca="1" si="209"/>
        <v>0</v>
      </c>
      <c r="Y64" s="33">
        <f t="shared" ca="1" si="209"/>
        <v>0</v>
      </c>
      <c r="Z64" s="34">
        <f t="shared" ca="1" si="149"/>
        <v>0</v>
      </c>
    </row>
    <row r="65" spans="1:26" ht="17.399999999999999">
      <c r="A65" s="3">
        <f t="shared" si="0"/>
        <v>62</v>
      </c>
      <c r="B65" s="36" t="s">
        <v>129</v>
      </c>
      <c r="C65" s="23" t="s">
        <v>130</v>
      </c>
      <c r="D65" s="28">
        <v>46292</v>
      </c>
      <c r="E65" s="28">
        <v>46292</v>
      </c>
      <c r="F65" s="28">
        <v>46292</v>
      </c>
      <c r="G65" s="28"/>
      <c r="H65" s="35"/>
      <c r="I65" s="28"/>
      <c r="J65" s="28">
        <v>46292</v>
      </c>
      <c r="K65" s="32">
        <f t="shared" ref="K65:N65" ca="1" si="210">IF(OR($AB$1="",D65=""),"",D65-$AB$1)</f>
        <v>-5</v>
      </c>
      <c r="L65" s="32">
        <f t="shared" ca="1" si="210"/>
        <v>-5</v>
      </c>
      <c r="M65" s="32">
        <f t="shared" ca="1" si="210"/>
        <v>-5</v>
      </c>
      <c r="N65" s="32" t="str">
        <f t="shared" ca="1" si="210"/>
        <v/>
      </c>
      <c r="O65" s="32" t="str">
        <f t="shared" ref="O65:P65" ca="1" si="211">IF(OR($AB$1="",I65=""),"",I65-$AB$1)</f>
        <v/>
      </c>
      <c r="P65" s="32">
        <f t="shared" ca="1" si="211"/>
        <v>-5</v>
      </c>
      <c r="Q65" s="32">
        <f t="shared" ca="1" si="3"/>
        <v>-5</v>
      </c>
      <c r="R65" s="195"/>
      <c r="S65" s="33">
        <f t="shared" ref="S65:Y65" ca="1" si="212">COUNTIF(K65, "&lt;30")</f>
        <v>1</v>
      </c>
      <c r="T65" s="33">
        <f t="shared" ca="1" si="212"/>
        <v>1</v>
      </c>
      <c r="U65" s="33">
        <f t="shared" ca="1" si="212"/>
        <v>1</v>
      </c>
      <c r="V65" s="33">
        <f t="shared" ca="1" si="212"/>
        <v>0</v>
      </c>
      <c r="W65" s="33">
        <f t="shared" ca="1" si="212"/>
        <v>0</v>
      </c>
      <c r="X65" s="33">
        <f t="shared" ca="1" si="212"/>
        <v>1</v>
      </c>
      <c r="Y65" s="33">
        <f t="shared" ca="1" si="212"/>
        <v>1</v>
      </c>
      <c r="Z65" s="34">
        <f t="shared" ca="1" si="149"/>
        <v>5</v>
      </c>
    </row>
    <row r="66" spans="1:26" ht="17.399999999999999">
      <c r="A66" s="3">
        <f t="shared" si="0"/>
        <v>63</v>
      </c>
      <c r="B66" s="3" t="s">
        <v>131</v>
      </c>
      <c r="C66" s="23" t="s">
        <v>130</v>
      </c>
      <c r="D66" s="28"/>
      <c r="E66" s="28"/>
      <c r="F66" s="28">
        <v>46418</v>
      </c>
      <c r="G66" s="28">
        <v>46418</v>
      </c>
      <c r="H66" s="35"/>
      <c r="I66" s="28">
        <v>46418</v>
      </c>
      <c r="J66" s="42">
        <v>46376</v>
      </c>
      <c r="K66" s="32" t="str">
        <f t="shared" ref="K66:N66" ca="1" si="213">IF(OR($AB$1="",D66=""),"",D66-$AB$1)</f>
        <v/>
      </c>
      <c r="L66" s="32" t="str">
        <f t="shared" ca="1" si="213"/>
        <v/>
      </c>
      <c r="M66" s="32">
        <f t="shared" ca="1" si="213"/>
        <v>121</v>
      </c>
      <c r="N66" s="32">
        <f t="shared" ca="1" si="213"/>
        <v>121</v>
      </c>
      <c r="O66" s="32">
        <f t="shared" ref="O66:P66" ca="1" si="214">IF(OR($AB$1="",I66=""),"",I66-$AB$1)</f>
        <v>121</v>
      </c>
      <c r="P66" s="32">
        <f t="shared" ca="1" si="214"/>
        <v>79</v>
      </c>
      <c r="Q66" s="32">
        <f t="shared" ca="1" si="3"/>
        <v>79</v>
      </c>
      <c r="R66" s="195"/>
      <c r="S66" s="33">
        <f t="shared" ref="S66:Y66" ca="1" si="215">COUNTIF(K66, "&lt;30")</f>
        <v>0</v>
      </c>
      <c r="T66" s="33">
        <f t="shared" ca="1" si="215"/>
        <v>0</v>
      </c>
      <c r="U66" s="33">
        <f t="shared" ca="1" si="215"/>
        <v>0</v>
      </c>
      <c r="V66" s="33">
        <f t="shared" ca="1" si="215"/>
        <v>0</v>
      </c>
      <c r="W66" s="33">
        <f t="shared" ca="1" si="215"/>
        <v>0</v>
      </c>
      <c r="X66" s="33">
        <f t="shared" ca="1" si="215"/>
        <v>0</v>
      </c>
      <c r="Y66" s="33">
        <f t="shared" ca="1" si="215"/>
        <v>0</v>
      </c>
      <c r="Z66" s="34">
        <f t="shared" ca="1" si="149"/>
        <v>0</v>
      </c>
    </row>
    <row r="67" spans="1:26" ht="17.399999999999999">
      <c r="A67" s="63">
        <f t="shared" si="0"/>
        <v>64</v>
      </c>
      <c r="B67" s="3" t="s">
        <v>132</v>
      </c>
      <c r="C67" s="23" t="s">
        <v>133</v>
      </c>
      <c r="D67" s="28">
        <v>46446</v>
      </c>
      <c r="E67" s="28">
        <v>46446</v>
      </c>
      <c r="F67" s="28">
        <v>46446</v>
      </c>
      <c r="G67" s="28"/>
      <c r="H67" s="37"/>
      <c r="I67" s="28"/>
      <c r="J67" s="28">
        <v>46446</v>
      </c>
      <c r="K67" s="32">
        <f t="shared" ref="K67:N67" ca="1" si="216">IF(OR($AB$1="",D67=""),"",D67-$AB$1)</f>
        <v>149</v>
      </c>
      <c r="L67" s="32">
        <f t="shared" ca="1" si="216"/>
        <v>149</v>
      </c>
      <c r="M67" s="32">
        <f t="shared" ca="1" si="216"/>
        <v>149</v>
      </c>
      <c r="N67" s="32" t="str">
        <f t="shared" ca="1" si="216"/>
        <v/>
      </c>
      <c r="O67" s="32" t="str">
        <f t="shared" ref="O67:P67" ca="1" si="217">IF(OR($AB$1="",I67=""),"",I67-$AB$1)</f>
        <v/>
      </c>
      <c r="P67" s="32">
        <f t="shared" ca="1" si="217"/>
        <v>149</v>
      </c>
      <c r="Q67" s="32">
        <f t="shared" ca="1" si="3"/>
        <v>149</v>
      </c>
      <c r="R67" s="195"/>
      <c r="S67" s="33">
        <f t="shared" ref="S67:Y67" ca="1" si="218">COUNTIF(K67, "&lt;30")</f>
        <v>0</v>
      </c>
      <c r="T67" s="33">
        <f t="shared" ca="1" si="218"/>
        <v>0</v>
      </c>
      <c r="U67" s="33">
        <f t="shared" ca="1" si="218"/>
        <v>0</v>
      </c>
      <c r="V67" s="33">
        <f t="shared" ca="1" si="218"/>
        <v>0</v>
      </c>
      <c r="W67" s="33">
        <f t="shared" ca="1" si="218"/>
        <v>0</v>
      </c>
      <c r="X67" s="33">
        <f t="shared" ca="1" si="218"/>
        <v>0</v>
      </c>
      <c r="Y67" s="33">
        <f t="shared" ca="1" si="218"/>
        <v>0</v>
      </c>
      <c r="Z67" s="34">
        <f t="shared" ca="1" si="149"/>
        <v>0</v>
      </c>
    </row>
    <row r="68" spans="1:26" ht="17.399999999999999">
      <c r="A68" s="3">
        <f t="shared" si="0"/>
        <v>65</v>
      </c>
      <c r="B68" s="3" t="s">
        <v>134</v>
      </c>
      <c r="C68" s="23" t="s">
        <v>135</v>
      </c>
      <c r="D68" s="42">
        <v>46376</v>
      </c>
      <c r="E68" s="42">
        <v>46376</v>
      </c>
      <c r="F68" s="28">
        <v>46446</v>
      </c>
      <c r="G68" s="83"/>
      <c r="H68" s="35"/>
      <c r="I68" s="83"/>
      <c r="J68" s="28">
        <v>46446</v>
      </c>
      <c r="K68" s="32">
        <f t="shared" ref="K68:N68" ca="1" si="219">IF(OR($AB$1="",D68=""),"",D68-$AB$1)</f>
        <v>79</v>
      </c>
      <c r="L68" s="32">
        <f t="shared" ca="1" si="219"/>
        <v>79</v>
      </c>
      <c r="M68" s="32">
        <f t="shared" ca="1" si="219"/>
        <v>149</v>
      </c>
      <c r="N68" s="32" t="str">
        <f t="shared" ca="1" si="219"/>
        <v/>
      </c>
      <c r="O68" s="32" t="str">
        <f t="shared" ref="O68:P68" ca="1" si="220">IF(OR($AB$1="",I68=""),"",I68-$AB$1)</f>
        <v/>
      </c>
      <c r="P68" s="32">
        <f t="shared" ca="1" si="220"/>
        <v>149</v>
      </c>
      <c r="Q68" s="32">
        <f t="shared" ca="1" si="3"/>
        <v>149</v>
      </c>
      <c r="R68" s="195"/>
      <c r="S68" s="33">
        <f t="shared" ref="S68:Y68" ca="1" si="221">COUNTIF(K68, "&lt;30")</f>
        <v>0</v>
      </c>
      <c r="T68" s="33">
        <f t="shared" ca="1" si="221"/>
        <v>0</v>
      </c>
      <c r="U68" s="33">
        <f t="shared" ca="1" si="221"/>
        <v>0</v>
      </c>
      <c r="V68" s="33">
        <f t="shared" ca="1" si="221"/>
        <v>0</v>
      </c>
      <c r="W68" s="33">
        <f t="shared" ca="1" si="221"/>
        <v>0</v>
      </c>
      <c r="X68" s="33">
        <f t="shared" ca="1" si="221"/>
        <v>0</v>
      </c>
      <c r="Y68" s="33">
        <f t="shared" ca="1" si="221"/>
        <v>0</v>
      </c>
      <c r="Z68" s="34">
        <f t="shared" ca="1" si="149"/>
        <v>0</v>
      </c>
    </row>
    <row r="69" spans="1:26" ht="17.399999999999999">
      <c r="A69" s="3">
        <f t="shared" si="0"/>
        <v>66</v>
      </c>
      <c r="B69" s="3" t="s">
        <v>136</v>
      </c>
      <c r="C69" s="23" t="s">
        <v>130</v>
      </c>
      <c r="D69" s="28">
        <v>46446</v>
      </c>
      <c r="E69" s="28">
        <v>46446</v>
      </c>
      <c r="F69" s="24">
        <v>46254</v>
      </c>
      <c r="G69" s="28"/>
      <c r="H69" s="35"/>
      <c r="I69" s="28"/>
      <c r="J69" s="28">
        <v>46446</v>
      </c>
      <c r="K69" s="32">
        <f t="shared" ref="K69:N69" ca="1" si="222">IF(OR($AB$1="",D69=""),"",D69-$AB$1)</f>
        <v>149</v>
      </c>
      <c r="L69" s="32">
        <f t="shared" ca="1" si="222"/>
        <v>149</v>
      </c>
      <c r="M69" s="32">
        <f t="shared" ca="1" si="222"/>
        <v>-43</v>
      </c>
      <c r="N69" s="32" t="str">
        <f t="shared" ca="1" si="222"/>
        <v/>
      </c>
      <c r="O69" s="32" t="str">
        <f t="shared" ref="O69:P69" ca="1" si="223">IF(OR($AB$1="",I69=""),"",I69-$AB$1)</f>
        <v/>
      </c>
      <c r="P69" s="32">
        <f t="shared" ca="1" si="223"/>
        <v>149</v>
      </c>
      <c r="Q69" s="32">
        <f t="shared" ca="1" si="3"/>
        <v>149</v>
      </c>
      <c r="R69" s="195"/>
      <c r="S69" s="33">
        <f t="shared" ref="S69:Y69" ca="1" si="224">COUNTIF(K69, "&lt;30")</f>
        <v>0</v>
      </c>
      <c r="T69" s="33">
        <f t="shared" ca="1" si="224"/>
        <v>0</v>
      </c>
      <c r="U69" s="33">
        <f t="shared" ca="1" si="224"/>
        <v>1</v>
      </c>
      <c r="V69" s="33">
        <f t="shared" ca="1" si="224"/>
        <v>0</v>
      </c>
      <c r="W69" s="33">
        <f t="shared" ca="1" si="224"/>
        <v>0</v>
      </c>
      <c r="X69" s="33">
        <f t="shared" ca="1" si="224"/>
        <v>0</v>
      </c>
      <c r="Y69" s="33">
        <f t="shared" ca="1" si="224"/>
        <v>0</v>
      </c>
      <c r="Z69" s="34">
        <f t="shared" ca="1" si="149"/>
        <v>1</v>
      </c>
    </row>
    <row r="70" spans="1:26" ht="17.399999999999999">
      <c r="A70" s="3">
        <f t="shared" si="0"/>
        <v>67</v>
      </c>
      <c r="B70" s="3" t="s">
        <v>137</v>
      </c>
      <c r="C70" s="23" t="s">
        <v>130</v>
      </c>
      <c r="D70" s="28">
        <v>46446</v>
      </c>
      <c r="E70" s="28">
        <v>46446</v>
      </c>
      <c r="F70" s="28">
        <v>46418</v>
      </c>
      <c r="G70" s="83"/>
      <c r="H70" s="35"/>
      <c r="I70" s="83"/>
      <c r="J70" s="28">
        <v>46446</v>
      </c>
      <c r="K70" s="32">
        <f t="shared" ref="K70:N70" ca="1" si="225">IF(OR($AB$1="",D70=""),"",D70-$AB$1)</f>
        <v>149</v>
      </c>
      <c r="L70" s="32">
        <f t="shared" ca="1" si="225"/>
        <v>149</v>
      </c>
      <c r="M70" s="32">
        <f t="shared" ca="1" si="225"/>
        <v>121</v>
      </c>
      <c r="N70" s="32" t="str">
        <f t="shared" ca="1" si="225"/>
        <v/>
      </c>
      <c r="O70" s="32" t="str">
        <f t="shared" ref="O70:P70" ca="1" si="226">IF(OR($AB$1="",I70=""),"",I70-$AB$1)</f>
        <v/>
      </c>
      <c r="P70" s="32">
        <f t="shared" ca="1" si="226"/>
        <v>149</v>
      </c>
      <c r="Q70" s="32">
        <f t="shared" ca="1" si="3"/>
        <v>149</v>
      </c>
      <c r="R70" s="195"/>
      <c r="S70" s="33">
        <f t="shared" ref="S70:Y70" ca="1" si="227">COUNTIF(K70, "&lt;30")</f>
        <v>0</v>
      </c>
      <c r="T70" s="33">
        <f t="shared" ca="1" si="227"/>
        <v>0</v>
      </c>
      <c r="U70" s="33">
        <f t="shared" ca="1" si="227"/>
        <v>0</v>
      </c>
      <c r="V70" s="33">
        <f t="shared" ca="1" si="227"/>
        <v>0</v>
      </c>
      <c r="W70" s="33">
        <f t="shared" ca="1" si="227"/>
        <v>0</v>
      </c>
      <c r="X70" s="33">
        <f t="shared" ca="1" si="227"/>
        <v>0</v>
      </c>
      <c r="Y70" s="33">
        <f t="shared" ca="1" si="227"/>
        <v>0</v>
      </c>
      <c r="Z70" s="34">
        <f t="shared" ca="1" si="149"/>
        <v>0</v>
      </c>
    </row>
    <row r="71" spans="1:26" ht="17.399999999999999">
      <c r="A71" s="3">
        <f t="shared" si="0"/>
        <v>68</v>
      </c>
      <c r="B71" s="3" t="s">
        <v>138</v>
      </c>
      <c r="C71" s="23" t="s">
        <v>133</v>
      </c>
      <c r="D71" s="40">
        <v>46283</v>
      </c>
      <c r="E71" s="40">
        <v>46283</v>
      </c>
      <c r="F71" s="28">
        <v>46325</v>
      </c>
      <c r="G71" s="28"/>
      <c r="H71" s="35"/>
      <c r="I71" s="28"/>
      <c r="J71" s="28">
        <v>46325</v>
      </c>
      <c r="K71" s="32">
        <f t="shared" ref="K71:N71" ca="1" si="228">IF(OR($AB$1="",D71=""),"",D71-$AB$1)</f>
        <v>-14</v>
      </c>
      <c r="L71" s="32">
        <f t="shared" ca="1" si="228"/>
        <v>-14</v>
      </c>
      <c r="M71" s="32">
        <f t="shared" ca="1" si="228"/>
        <v>28</v>
      </c>
      <c r="N71" s="32" t="str">
        <f t="shared" ca="1" si="228"/>
        <v/>
      </c>
      <c r="O71" s="32" t="str">
        <f t="shared" ref="O71:P71" ca="1" si="229">IF(OR($AB$1="",I71=""),"",I71-$AB$1)</f>
        <v/>
      </c>
      <c r="P71" s="32">
        <f t="shared" ca="1" si="229"/>
        <v>28</v>
      </c>
      <c r="Q71" s="32">
        <f t="shared" ca="1" si="3"/>
        <v>28</v>
      </c>
      <c r="R71" s="195"/>
      <c r="S71" s="33">
        <f t="shared" ref="S71:Y71" ca="1" si="230">COUNTIF(K71, "&lt;30")</f>
        <v>1</v>
      </c>
      <c r="T71" s="33">
        <f t="shared" ca="1" si="230"/>
        <v>1</v>
      </c>
      <c r="U71" s="33">
        <f t="shared" ca="1" si="230"/>
        <v>1</v>
      </c>
      <c r="V71" s="33">
        <f t="shared" ca="1" si="230"/>
        <v>0</v>
      </c>
      <c r="W71" s="33">
        <f t="shared" ca="1" si="230"/>
        <v>0</v>
      </c>
      <c r="X71" s="33">
        <f t="shared" ca="1" si="230"/>
        <v>1</v>
      </c>
      <c r="Y71" s="33">
        <f t="shared" ca="1" si="230"/>
        <v>1</v>
      </c>
      <c r="Z71" s="34">
        <f t="shared" ca="1" si="149"/>
        <v>5</v>
      </c>
    </row>
    <row r="72" spans="1:26" ht="17.399999999999999">
      <c r="A72" s="63">
        <f t="shared" si="0"/>
        <v>69</v>
      </c>
      <c r="B72" s="3" t="s">
        <v>139</v>
      </c>
      <c r="C72" s="23" t="s">
        <v>133</v>
      </c>
      <c r="D72" s="40">
        <v>46283</v>
      </c>
      <c r="E72" s="40">
        <v>46283</v>
      </c>
      <c r="F72" s="24">
        <v>46352</v>
      </c>
      <c r="G72" s="83"/>
      <c r="H72" s="37"/>
      <c r="I72" s="83"/>
      <c r="J72" s="24">
        <v>46352</v>
      </c>
      <c r="K72" s="32">
        <f t="shared" ref="K72:N72" ca="1" si="231">IF(OR($AB$1="",D72=""),"",D72-$AB$1)</f>
        <v>-14</v>
      </c>
      <c r="L72" s="32">
        <f t="shared" ca="1" si="231"/>
        <v>-14</v>
      </c>
      <c r="M72" s="32">
        <f t="shared" ca="1" si="231"/>
        <v>55</v>
      </c>
      <c r="N72" s="32" t="str">
        <f t="shared" ca="1" si="231"/>
        <v/>
      </c>
      <c r="O72" s="32" t="str">
        <f t="shared" ref="O72:P72" ca="1" si="232">IF(OR($AB$1="",I72=""),"",I72-$AB$1)</f>
        <v/>
      </c>
      <c r="P72" s="32">
        <f t="shared" ca="1" si="232"/>
        <v>55</v>
      </c>
      <c r="Q72" s="32">
        <f t="shared" ca="1" si="3"/>
        <v>55</v>
      </c>
      <c r="R72" s="195"/>
      <c r="S72" s="33">
        <f t="shared" ref="S72:Y72" ca="1" si="233">COUNTIF(K72, "&lt;30")</f>
        <v>1</v>
      </c>
      <c r="T72" s="33">
        <f t="shared" ca="1" si="233"/>
        <v>1</v>
      </c>
      <c r="U72" s="33">
        <f t="shared" ca="1" si="233"/>
        <v>0</v>
      </c>
      <c r="V72" s="33">
        <f t="shared" ca="1" si="233"/>
        <v>0</v>
      </c>
      <c r="W72" s="33">
        <f t="shared" ca="1" si="233"/>
        <v>0</v>
      </c>
      <c r="X72" s="33">
        <f t="shared" ca="1" si="233"/>
        <v>0</v>
      </c>
      <c r="Y72" s="33">
        <f t="shared" ca="1" si="233"/>
        <v>0</v>
      </c>
      <c r="Z72" s="34">
        <f t="shared" ca="1" si="149"/>
        <v>2</v>
      </c>
    </row>
    <row r="73" spans="1:26" ht="17.399999999999999">
      <c r="A73" s="3">
        <f t="shared" si="0"/>
        <v>70</v>
      </c>
      <c r="B73" s="3" t="s">
        <v>140</v>
      </c>
      <c r="C73" s="23" t="s">
        <v>133</v>
      </c>
      <c r="D73" s="28">
        <v>46446</v>
      </c>
      <c r="E73" s="28">
        <v>46446</v>
      </c>
      <c r="F73" s="42">
        <v>46376</v>
      </c>
      <c r="G73" s="83"/>
      <c r="H73" s="35"/>
      <c r="I73" s="83"/>
      <c r="J73" s="28">
        <v>46446</v>
      </c>
      <c r="K73" s="32">
        <f t="shared" ref="K73:N73" ca="1" si="234">IF(OR($AB$1="",D73=""),"",D73-$AB$1)</f>
        <v>149</v>
      </c>
      <c r="L73" s="32">
        <f t="shared" ca="1" si="234"/>
        <v>149</v>
      </c>
      <c r="M73" s="32">
        <f t="shared" ca="1" si="234"/>
        <v>79</v>
      </c>
      <c r="N73" s="32" t="str">
        <f t="shared" ca="1" si="234"/>
        <v/>
      </c>
      <c r="O73" s="32" t="str">
        <f t="shared" ref="O73:P73" ca="1" si="235">IF(OR($AB$1="",I73=""),"",I73-$AB$1)</f>
        <v/>
      </c>
      <c r="P73" s="32">
        <f t="shared" ca="1" si="235"/>
        <v>149</v>
      </c>
      <c r="Q73" s="32">
        <f t="shared" ca="1" si="3"/>
        <v>149</v>
      </c>
      <c r="R73" s="195"/>
      <c r="S73" s="33">
        <f t="shared" ref="S73:Y73" ca="1" si="236">COUNTIF(K73, "&lt;30")</f>
        <v>0</v>
      </c>
      <c r="T73" s="33">
        <f t="shared" ca="1" si="236"/>
        <v>0</v>
      </c>
      <c r="U73" s="33">
        <f t="shared" ca="1" si="236"/>
        <v>0</v>
      </c>
      <c r="V73" s="33">
        <f t="shared" ca="1" si="236"/>
        <v>0</v>
      </c>
      <c r="W73" s="33">
        <f t="shared" ca="1" si="236"/>
        <v>0</v>
      </c>
      <c r="X73" s="33">
        <f t="shared" ca="1" si="236"/>
        <v>0</v>
      </c>
      <c r="Y73" s="33">
        <f t="shared" ca="1" si="236"/>
        <v>0</v>
      </c>
      <c r="Z73" s="34">
        <f t="shared" ca="1" si="149"/>
        <v>0</v>
      </c>
    </row>
    <row r="74" spans="1:26" ht="17.399999999999999">
      <c r="A74" s="3">
        <f t="shared" si="0"/>
        <v>71</v>
      </c>
      <c r="B74" s="3" t="s">
        <v>141</v>
      </c>
      <c r="C74" s="23" t="s">
        <v>130</v>
      </c>
      <c r="D74" s="28">
        <v>46418</v>
      </c>
      <c r="E74" s="28">
        <v>46418</v>
      </c>
      <c r="F74" s="40">
        <v>46283</v>
      </c>
      <c r="G74" s="40"/>
      <c r="H74" s="35"/>
      <c r="I74" s="40"/>
      <c r="J74" s="40">
        <v>46283</v>
      </c>
      <c r="K74" s="32">
        <f t="shared" ref="K74:N74" ca="1" si="237">IF(OR($AB$1="",D74=""),"",D74-$AB$1)</f>
        <v>121</v>
      </c>
      <c r="L74" s="32">
        <f t="shared" ca="1" si="237"/>
        <v>121</v>
      </c>
      <c r="M74" s="32">
        <f t="shared" ca="1" si="237"/>
        <v>-14</v>
      </c>
      <c r="N74" s="32" t="str">
        <f t="shared" ca="1" si="237"/>
        <v/>
      </c>
      <c r="O74" s="32" t="str">
        <f t="shared" ref="O74:P74" ca="1" si="238">IF(OR($AB$1="",I74=""),"",I74-$AB$1)</f>
        <v/>
      </c>
      <c r="P74" s="32">
        <f t="shared" ca="1" si="238"/>
        <v>-14</v>
      </c>
      <c r="Q74" s="32">
        <f t="shared" ca="1" si="3"/>
        <v>-14</v>
      </c>
      <c r="R74" s="195"/>
      <c r="S74" s="33">
        <f t="shared" ref="S74:Y74" ca="1" si="239">COUNTIF(K74, "&lt;30")</f>
        <v>0</v>
      </c>
      <c r="T74" s="33">
        <f t="shared" ca="1" si="239"/>
        <v>0</v>
      </c>
      <c r="U74" s="33">
        <f t="shared" ca="1" si="239"/>
        <v>1</v>
      </c>
      <c r="V74" s="33">
        <f t="shared" ca="1" si="239"/>
        <v>0</v>
      </c>
      <c r="W74" s="33">
        <f t="shared" ca="1" si="239"/>
        <v>0</v>
      </c>
      <c r="X74" s="33">
        <f t="shared" ca="1" si="239"/>
        <v>1</v>
      </c>
      <c r="Y74" s="33">
        <f t="shared" ca="1" si="239"/>
        <v>1</v>
      </c>
      <c r="Z74" s="34">
        <f t="shared" ca="1" si="149"/>
        <v>3</v>
      </c>
    </row>
    <row r="75" spans="1:26" ht="17.399999999999999">
      <c r="A75" s="3">
        <f t="shared" si="0"/>
        <v>72</v>
      </c>
      <c r="B75" s="3" t="s">
        <v>142</v>
      </c>
      <c r="C75" s="23" t="s">
        <v>133</v>
      </c>
      <c r="D75" s="28">
        <v>46446</v>
      </c>
      <c r="E75" s="28">
        <v>46446</v>
      </c>
      <c r="F75" s="24">
        <v>46254</v>
      </c>
      <c r="G75" s="83"/>
      <c r="H75" s="35"/>
      <c r="I75" s="83"/>
      <c r="J75" s="24">
        <v>46254</v>
      </c>
      <c r="K75" s="32">
        <f t="shared" ref="K75:N75" ca="1" si="240">IF(OR($AB$1="",D75=""),"",D75-$AB$1)</f>
        <v>149</v>
      </c>
      <c r="L75" s="32">
        <f t="shared" ca="1" si="240"/>
        <v>149</v>
      </c>
      <c r="M75" s="32">
        <f t="shared" ca="1" si="240"/>
        <v>-43</v>
      </c>
      <c r="N75" s="32" t="str">
        <f t="shared" ca="1" si="240"/>
        <v/>
      </c>
      <c r="O75" s="32" t="str">
        <f t="shared" ref="O75:P75" ca="1" si="241">IF(OR($AB$1="",I75=""),"",I75-$AB$1)</f>
        <v/>
      </c>
      <c r="P75" s="32">
        <f t="shared" ca="1" si="241"/>
        <v>-43</v>
      </c>
      <c r="Q75" s="32">
        <f t="shared" ca="1" si="3"/>
        <v>-43</v>
      </c>
      <c r="R75" s="195"/>
      <c r="S75" s="33">
        <f t="shared" ref="S75:Y75" ca="1" si="242">COUNTIF(K75, "&lt;30")</f>
        <v>0</v>
      </c>
      <c r="T75" s="33">
        <f t="shared" ca="1" si="242"/>
        <v>0</v>
      </c>
      <c r="U75" s="33">
        <f t="shared" ca="1" si="242"/>
        <v>1</v>
      </c>
      <c r="V75" s="33">
        <f t="shared" ca="1" si="242"/>
        <v>0</v>
      </c>
      <c r="W75" s="33">
        <f t="shared" ca="1" si="242"/>
        <v>0</v>
      </c>
      <c r="X75" s="33">
        <f t="shared" ca="1" si="242"/>
        <v>1</v>
      </c>
      <c r="Y75" s="33">
        <f t="shared" ca="1" si="242"/>
        <v>1</v>
      </c>
      <c r="Z75" s="34">
        <f t="shared" ca="1" si="149"/>
        <v>3</v>
      </c>
    </row>
    <row r="76" spans="1:26" ht="17.399999999999999">
      <c r="A76" s="3">
        <f t="shared" si="0"/>
        <v>73</v>
      </c>
      <c r="B76" s="3" t="s">
        <v>143</v>
      </c>
      <c r="C76" s="23" t="s">
        <v>135</v>
      </c>
      <c r="D76" s="24">
        <v>46254</v>
      </c>
      <c r="E76" s="24">
        <v>46254</v>
      </c>
      <c r="F76" s="40">
        <v>46283</v>
      </c>
      <c r="G76" s="40"/>
      <c r="H76" s="35"/>
      <c r="I76" s="40"/>
      <c r="J76" s="40">
        <v>46283</v>
      </c>
      <c r="K76" s="32">
        <f t="shared" ref="K76:N76" ca="1" si="243">IF(OR($AB$1="",D76=""),"",D76-$AB$1)</f>
        <v>-43</v>
      </c>
      <c r="L76" s="32">
        <f t="shared" ca="1" si="243"/>
        <v>-43</v>
      </c>
      <c r="M76" s="32">
        <f t="shared" ca="1" si="243"/>
        <v>-14</v>
      </c>
      <c r="N76" s="32" t="str">
        <f t="shared" ca="1" si="243"/>
        <v/>
      </c>
      <c r="O76" s="32" t="str">
        <f t="shared" ref="O76:P76" ca="1" si="244">IF(OR($AB$1="",I76=""),"",I76-$AB$1)</f>
        <v/>
      </c>
      <c r="P76" s="32">
        <f t="shared" ca="1" si="244"/>
        <v>-14</v>
      </c>
      <c r="Q76" s="32">
        <f t="shared" ca="1" si="3"/>
        <v>-14</v>
      </c>
      <c r="R76" s="182"/>
      <c r="S76" s="33">
        <f t="shared" ref="S76:Y76" ca="1" si="245">COUNTIF(K76, "&lt;30")</f>
        <v>1</v>
      </c>
      <c r="T76" s="33">
        <f t="shared" ca="1" si="245"/>
        <v>1</v>
      </c>
      <c r="U76" s="33">
        <f t="shared" ca="1" si="245"/>
        <v>1</v>
      </c>
      <c r="V76" s="33">
        <f t="shared" ca="1" si="245"/>
        <v>0</v>
      </c>
      <c r="W76" s="33">
        <f t="shared" ca="1" si="245"/>
        <v>0</v>
      </c>
      <c r="X76" s="33">
        <f t="shared" ca="1" si="245"/>
        <v>1</v>
      </c>
      <c r="Y76" s="33">
        <f t="shared" ca="1" si="245"/>
        <v>1</v>
      </c>
      <c r="Z76" s="34">
        <f t="shared" ca="1" si="149"/>
        <v>5</v>
      </c>
    </row>
    <row r="77" spans="1:26" ht="17.25" customHeight="1">
      <c r="A77" s="63">
        <f t="shared" si="0"/>
        <v>74</v>
      </c>
      <c r="B77" s="3" t="s">
        <v>144</v>
      </c>
      <c r="C77" s="87" t="s">
        <v>145</v>
      </c>
      <c r="D77" s="24">
        <v>46254</v>
      </c>
      <c r="E77" s="24">
        <v>46254</v>
      </c>
      <c r="F77" s="28"/>
      <c r="G77" s="28"/>
      <c r="H77" s="28">
        <v>46292</v>
      </c>
      <c r="I77" s="28"/>
      <c r="J77" s="28">
        <v>46418</v>
      </c>
      <c r="K77" s="32">
        <f t="shared" ref="K77:N77" ca="1" si="246">IF(OR($AB$1="",D77=""),"",D77-$AB$1)</f>
        <v>-43</v>
      </c>
      <c r="L77" s="32">
        <f t="shared" ca="1" si="246"/>
        <v>-43</v>
      </c>
      <c r="M77" s="32" t="str">
        <f t="shared" ca="1" si="246"/>
        <v/>
      </c>
      <c r="N77" s="32" t="str">
        <f t="shared" ca="1" si="246"/>
        <v/>
      </c>
      <c r="O77" s="32" t="str">
        <f t="shared" ref="O77:P77" ca="1" si="247">IF(OR($AB$1="",I77=""),"",I77-$AB$1)</f>
        <v/>
      </c>
      <c r="P77" s="32">
        <f t="shared" ca="1" si="247"/>
        <v>121</v>
      </c>
      <c r="Q77" s="32">
        <f t="shared" ca="1" si="3"/>
        <v>121</v>
      </c>
      <c r="S77" s="33">
        <f t="shared" ref="S77:Y77" ca="1" si="248">COUNTIF(K77, "&lt;30")</f>
        <v>1</v>
      </c>
      <c r="T77" s="33">
        <f t="shared" ca="1" si="248"/>
        <v>1</v>
      </c>
      <c r="U77" s="33">
        <f t="shared" ca="1" si="248"/>
        <v>0</v>
      </c>
      <c r="V77" s="33">
        <f t="shared" ca="1" si="248"/>
        <v>0</v>
      </c>
      <c r="W77" s="33">
        <f t="shared" ca="1" si="248"/>
        <v>0</v>
      </c>
      <c r="X77" s="33">
        <f t="shared" ca="1" si="248"/>
        <v>0</v>
      </c>
      <c r="Y77" s="33">
        <f t="shared" ca="1" si="248"/>
        <v>0</v>
      </c>
      <c r="Z77" s="34">
        <f t="shared" ca="1" si="149"/>
        <v>2</v>
      </c>
    </row>
    <row r="78" spans="1:26" ht="17.399999999999999">
      <c r="A78" s="3">
        <f t="shared" si="0"/>
        <v>75</v>
      </c>
      <c r="B78" s="3" t="s">
        <v>146</v>
      </c>
      <c r="C78" s="66" t="s">
        <v>147</v>
      </c>
      <c r="D78" s="40">
        <v>46283</v>
      </c>
      <c r="E78" s="40">
        <v>46283</v>
      </c>
      <c r="F78" s="28"/>
      <c r="G78" s="83"/>
      <c r="H78" s="31">
        <v>46352</v>
      </c>
      <c r="I78" s="83"/>
      <c r="J78" s="24">
        <v>46352</v>
      </c>
      <c r="K78" s="32">
        <f t="shared" ref="K78:N78" ca="1" si="249">IF(OR($AB$1="",D78=""),"",D78-$AB$1)</f>
        <v>-14</v>
      </c>
      <c r="L78" s="32">
        <f t="shared" ca="1" si="249"/>
        <v>-14</v>
      </c>
      <c r="M78" s="32" t="str">
        <f t="shared" ca="1" si="249"/>
        <v/>
      </c>
      <c r="N78" s="32" t="str">
        <f t="shared" ca="1" si="249"/>
        <v/>
      </c>
      <c r="O78" s="32" t="str">
        <f t="shared" ref="O78:P78" ca="1" si="250">IF(OR($AB$1="",I78=""),"",I78-$AB$1)</f>
        <v/>
      </c>
      <c r="P78" s="32">
        <f t="shared" ca="1" si="250"/>
        <v>55</v>
      </c>
      <c r="Q78" s="32">
        <f t="shared" ca="1" si="3"/>
        <v>55</v>
      </c>
      <c r="S78" s="33">
        <f t="shared" ref="S78:Y78" ca="1" si="251">COUNTIF(K78, "&lt;30")</f>
        <v>1</v>
      </c>
      <c r="T78" s="33">
        <f t="shared" ca="1" si="251"/>
        <v>1</v>
      </c>
      <c r="U78" s="33">
        <f t="shared" ca="1" si="251"/>
        <v>0</v>
      </c>
      <c r="V78" s="33">
        <f t="shared" ca="1" si="251"/>
        <v>0</v>
      </c>
      <c r="W78" s="33">
        <f t="shared" ca="1" si="251"/>
        <v>0</v>
      </c>
      <c r="X78" s="33">
        <f t="shared" ca="1" si="251"/>
        <v>0</v>
      </c>
      <c r="Y78" s="33">
        <f t="shared" ca="1" si="251"/>
        <v>0</v>
      </c>
      <c r="Z78" s="34">
        <f t="shared" ca="1" si="149"/>
        <v>2</v>
      </c>
    </row>
    <row r="79" spans="1:26" ht="17.399999999999999">
      <c r="A79" s="3">
        <f t="shared" si="0"/>
        <v>76</v>
      </c>
      <c r="B79" s="3" t="s">
        <v>149</v>
      </c>
      <c r="C79" s="66" t="s">
        <v>147</v>
      </c>
      <c r="D79" s="40">
        <v>46283</v>
      </c>
      <c r="E79" s="40">
        <v>46283</v>
      </c>
      <c r="F79" s="28"/>
      <c r="G79" s="28"/>
      <c r="H79" s="28">
        <v>46325</v>
      </c>
      <c r="I79" s="28"/>
      <c r="J79" s="28">
        <v>46325</v>
      </c>
      <c r="K79" s="32">
        <f t="shared" ref="K79:N79" ca="1" si="252">IF(OR($AB$1="",D79=""),"",D79-$AB$1)</f>
        <v>-14</v>
      </c>
      <c r="L79" s="32">
        <f t="shared" ca="1" si="252"/>
        <v>-14</v>
      </c>
      <c r="M79" s="32" t="str">
        <f t="shared" ca="1" si="252"/>
        <v/>
      </c>
      <c r="N79" s="32" t="str">
        <f t="shared" ca="1" si="252"/>
        <v/>
      </c>
      <c r="O79" s="32" t="str">
        <f t="shared" ref="O79:P79" ca="1" si="253">IF(OR($AB$1="",I79=""),"",I79-$AB$1)</f>
        <v/>
      </c>
      <c r="P79" s="32">
        <f t="shared" ca="1" si="253"/>
        <v>28</v>
      </c>
      <c r="Q79" s="32">
        <f t="shared" ca="1" si="3"/>
        <v>28</v>
      </c>
      <c r="S79" s="33">
        <f t="shared" ref="S79:Y79" ca="1" si="254">COUNTIF(K79, "&lt;30")</f>
        <v>1</v>
      </c>
      <c r="T79" s="33">
        <f t="shared" ca="1" si="254"/>
        <v>1</v>
      </c>
      <c r="U79" s="33">
        <f t="shared" ca="1" si="254"/>
        <v>0</v>
      </c>
      <c r="V79" s="33">
        <f t="shared" ca="1" si="254"/>
        <v>0</v>
      </c>
      <c r="W79" s="33">
        <f t="shared" ca="1" si="254"/>
        <v>0</v>
      </c>
      <c r="X79" s="33">
        <f t="shared" ca="1" si="254"/>
        <v>1</v>
      </c>
      <c r="Y79" s="33">
        <f t="shared" ca="1" si="254"/>
        <v>1</v>
      </c>
      <c r="Z79" s="34">
        <f t="shared" ca="1" si="149"/>
        <v>4</v>
      </c>
    </row>
    <row r="80" spans="1:26" ht="17.399999999999999">
      <c r="A80" s="3">
        <f t="shared" si="0"/>
        <v>77</v>
      </c>
      <c r="B80" s="3" t="s">
        <v>150</v>
      </c>
      <c r="C80" s="66" t="s">
        <v>147</v>
      </c>
      <c r="D80" s="28">
        <v>46418</v>
      </c>
      <c r="E80" s="28">
        <v>46418</v>
      </c>
      <c r="F80" s="28"/>
      <c r="G80" s="28"/>
      <c r="H80" s="28">
        <v>46418</v>
      </c>
      <c r="I80" s="28"/>
      <c r="J80" s="28">
        <v>46292</v>
      </c>
      <c r="K80" s="32">
        <f t="shared" ref="K80:N80" ca="1" si="255">IF(OR($AB$1="",D80=""),"",D80-$AB$1)</f>
        <v>121</v>
      </c>
      <c r="L80" s="32">
        <f t="shared" ca="1" si="255"/>
        <v>121</v>
      </c>
      <c r="M80" s="32" t="str">
        <f t="shared" ca="1" si="255"/>
        <v/>
      </c>
      <c r="N80" s="32" t="str">
        <f t="shared" ca="1" si="255"/>
        <v/>
      </c>
      <c r="O80" s="32" t="str">
        <f t="shared" ref="O80:P80" ca="1" si="256">IF(OR($AB$1="",I80=""),"",I80-$AB$1)</f>
        <v/>
      </c>
      <c r="P80" s="32">
        <f t="shared" ca="1" si="256"/>
        <v>-5</v>
      </c>
      <c r="Q80" s="32">
        <f t="shared" ca="1" si="3"/>
        <v>-5</v>
      </c>
      <c r="S80" s="33">
        <f t="shared" ref="S80:Y80" ca="1" si="257">COUNTIF(K80, "&lt;30")</f>
        <v>0</v>
      </c>
      <c r="T80" s="33">
        <f t="shared" ca="1" si="257"/>
        <v>0</v>
      </c>
      <c r="U80" s="33">
        <f t="shared" ca="1" si="257"/>
        <v>0</v>
      </c>
      <c r="V80" s="33">
        <f t="shared" ca="1" si="257"/>
        <v>0</v>
      </c>
      <c r="W80" s="33">
        <f t="shared" ca="1" si="257"/>
        <v>0</v>
      </c>
      <c r="X80" s="33">
        <f t="shared" ca="1" si="257"/>
        <v>1</v>
      </c>
      <c r="Y80" s="33">
        <f t="shared" ca="1" si="257"/>
        <v>1</v>
      </c>
      <c r="Z80" s="34">
        <f t="shared" ca="1" si="149"/>
        <v>2</v>
      </c>
    </row>
    <row r="81" spans="1:30" ht="17.399999999999999">
      <c r="A81" s="3">
        <f t="shared" si="0"/>
        <v>78</v>
      </c>
      <c r="B81" s="3" t="s">
        <v>153</v>
      </c>
      <c r="C81" s="87" t="s">
        <v>70</v>
      </c>
      <c r="D81" s="24">
        <v>46254</v>
      </c>
      <c r="E81" s="24">
        <v>46254</v>
      </c>
      <c r="F81" s="28"/>
      <c r="G81" s="40"/>
      <c r="H81" s="28">
        <v>46283</v>
      </c>
      <c r="I81" s="40"/>
      <c r="J81" s="40">
        <v>46283</v>
      </c>
      <c r="K81" s="32">
        <f t="shared" ref="K81:N81" ca="1" si="258">IF(OR($AB$1="",D81=""),"",D81-$AB$1)</f>
        <v>-43</v>
      </c>
      <c r="L81" s="32">
        <f t="shared" ca="1" si="258"/>
        <v>-43</v>
      </c>
      <c r="M81" s="32" t="str">
        <f t="shared" ca="1" si="258"/>
        <v/>
      </c>
      <c r="N81" s="32" t="str">
        <f t="shared" ca="1" si="258"/>
        <v/>
      </c>
      <c r="O81" s="32" t="str">
        <f t="shared" ref="O81:P81" ca="1" si="259">IF(OR($AB$1="",I81=""),"",I81-$AB$1)</f>
        <v/>
      </c>
      <c r="P81" s="32">
        <f t="shared" ca="1" si="259"/>
        <v>-14</v>
      </c>
      <c r="Q81" s="32">
        <f t="shared" ca="1" si="3"/>
        <v>-14</v>
      </c>
      <c r="S81" s="33">
        <f t="shared" ref="S81:Y81" ca="1" si="260">COUNTIF(K81, "&lt;30")</f>
        <v>1</v>
      </c>
      <c r="T81" s="33">
        <f t="shared" ca="1" si="260"/>
        <v>1</v>
      </c>
      <c r="U81" s="33">
        <f t="shared" ca="1" si="260"/>
        <v>0</v>
      </c>
      <c r="V81" s="33">
        <f t="shared" ca="1" si="260"/>
        <v>0</v>
      </c>
      <c r="W81" s="33">
        <f t="shared" ca="1" si="260"/>
        <v>0</v>
      </c>
      <c r="X81" s="33">
        <f t="shared" ca="1" si="260"/>
        <v>1</v>
      </c>
      <c r="Y81" s="33">
        <f t="shared" ca="1" si="260"/>
        <v>1</v>
      </c>
      <c r="Z81" s="34">
        <f t="shared" ca="1" si="149"/>
        <v>4</v>
      </c>
    </row>
    <row r="82" spans="1:30" ht="17.399999999999999">
      <c r="A82" s="63">
        <f t="shared" si="0"/>
        <v>79</v>
      </c>
      <c r="B82" s="3" t="s">
        <v>155</v>
      </c>
      <c r="C82" s="87" t="s">
        <v>70</v>
      </c>
      <c r="D82" s="40">
        <v>46283</v>
      </c>
      <c r="E82" s="40">
        <v>46283</v>
      </c>
      <c r="F82" s="28"/>
      <c r="G82" s="28"/>
      <c r="H82" s="31">
        <v>46352</v>
      </c>
      <c r="I82" s="28"/>
      <c r="J82" s="28">
        <v>46325</v>
      </c>
      <c r="K82" s="32">
        <f t="shared" ref="K82:N82" ca="1" si="261">IF(OR($AB$1="",D82=""),"",D82-$AB$1)</f>
        <v>-14</v>
      </c>
      <c r="L82" s="32">
        <f t="shared" ca="1" si="261"/>
        <v>-14</v>
      </c>
      <c r="M82" s="32" t="str">
        <f t="shared" ca="1" si="261"/>
        <v/>
      </c>
      <c r="N82" s="32" t="str">
        <f t="shared" ca="1" si="261"/>
        <v/>
      </c>
      <c r="O82" s="32" t="str">
        <f t="shared" ref="O82:P82" ca="1" si="262">IF(OR($AB$1="",I82=""),"",I82-$AB$1)</f>
        <v/>
      </c>
      <c r="P82" s="32">
        <f t="shared" ca="1" si="262"/>
        <v>28</v>
      </c>
      <c r="Q82" s="32">
        <f t="shared" ca="1" si="3"/>
        <v>28</v>
      </c>
      <c r="S82" s="33">
        <f t="shared" ref="S82:Y82" ca="1" si="263">COUNTIF(K82, "&lt;30")</f>
        <v>1</v>
      </c>
      <c r="T82" s="33">
        <f t="shared" ca="1" si="263"/>
        <v>1</v>
      </c>
      <c r="U82" s="33">
        <f t="shared" ca="1" si="263"/>
        <v>0</v>
      </c>
      <c r="V82" s="33">
        <f t="shared" ca="1" si="263"/>
        <v>0</v>
      </c>
      <c r="W82" s="33">
        <f t="shared" ca="1" si="263"/>
        <v>0</v>
      </c>
      <c r="X82" s="33">
        <f t="shared" ca="1" si="263"/>
        <v>1</v>
      </c>
      <c r="Y82" s="33">
        <f t="shared" ca="1" si="263"/>
        <v>1</v>
      </c>
      <c r="Z82" s="34">
        <f t="shared" ca="1" si="149"/>
        <v>4</v>
      </c>
    </row>
    <row r="83" spans="1:30" ht="17.399999999999999">
      <c r="A83" s="3">
        <f t="shared" si="0"/>
        <v>80</v>
      </c>
      <c r="B83" s="3" t="s">
        <v>157</v>
      </c>
      <c r="C83" s="66" t="s">
        <v>70</v>
      </c>
      <c r="D83" s="24">
        <v>46254</v>
      </c>
      <c r="E83" s="24">
        <v>46254</v>
      </c>
      <c r="F83" s="28"/>
      <c r="G83" s="28"/>
      <c r="H83" s="28">
        <v>46292</v>
      </c>
      <c r="I83" s="28"/>
      <c r="J83" s="28">
        <v>46325</v>
      </c>
      <c r="K83" s="32">
        <f t="shared" ref="K83:N83" ca="1" si="264">IF(OR($AB$1="",D83=""),"",D83-$AB$1)</f>
        <v>-43</v>
      </c>
      <c r="L83" s="32">
        <f t="shared" ca="1" si="264"/>
        <v>-43</v>
      </c>
      <c r="M83" s="32" t="str">
        <f t="shared" ca="1" si="264"/>
        <v/>
      </c>
      <c r="N83" s="32" t="str">
        <f t="shared" ca="1" si="264"/>
        <v/>
      </c>
      <c r="O83" s="32" t="str">
        <f t="shared" ref="O83:P83" ca="1" si="265">IF(OR($AB$1="",I83=""),"",I83-$AB$1)</f>
        <v/>
      </c>
      <c r="P83" s="32">
        <f t="shared" ca="1" si="265"/>
        <v>28</v>
      </c>
      <c r="Q83" s="32">
        <f t="shared" ca="1" si="3"/>
        <v>28</v>
      </c>
      <c r="S83" s="33">
        <f t="shared" ref="S83:Y83" ca="1" si="266">COUNTIF(K83, "&lt;30")</f>
        <v>1</v>
      </c>
      <c r="T83" s="33">
        <f t="shared" ca="1" si="266"/>
        <v>1</v>
      </c>
      <c r="U83" s="33">
        <f t="shared" ca="1" si="266"/>
        <v>0</v>
      </c>
      <c r="V83" s="33">
        <f t="shared" ca="1" si="266"/>
        <v>0</v>
      </c>
      <c r="W83" s="33">
        <f t="shared" ca="1" si="266"/>
        <v>0</v>
      </c>
      <c r="X83" s="33">
        <f t="shared" ca="1" si="266"/>
        <v>1</v>
      </c>
      <c r="Y83" s="33">
        <f t="shared" ca="1" si="266"/>
        <v>1</v>
      </c>
      <c r="Z83" s="34">
        <f t="shared" ca="1" si="149"/>
        <v>4</v>
      </c>
    </row>
    <row r="84" spans="1:30" ht="17.399999999999999">
      <c r="A84" s="3">
        <f t="shared" si="0"/>
        <v>81</v>
      </c>
      <c r="B84" s="3" t="s">
        <v>159</v>
      </c>
      <c r="C84" s="87" t="s">
        <v>70</v>
      </c>
      <c r="D84" s="28">
        <v>46418</v>
      </c>
      <c r="E84" s="28">
        <v>46418</v>
      </c>
      <c r="F84" s="42">
        <v>46376</v>
      </c>
      <c r="G84" s="28"/>
      <c r="H84" s="35"/>
      <c r="I84" s="28"/>
      <c r="J84" s="28">
        <v>46418</v>
      </c>
      <c r="K84" s="32">
        <f t="shared" ref="K84:N84" ca="1" si="267">IF(OR($AB$1="",D84=""),"",D84-$AB$1)</f>
        <v>121</v>
      </c>
      <c r="L84" s="32">
        <f t="shared" ca="1" si="267"/>
        <v>121</v>
      </c>
      <c r="M84" s="32">
        <f t="shared" ca="1" si="267"/>
        <v>79</v>
      </c>
      <c r="N84" s="32" t="str">
        <f t="shared" ca="1" si="267"/>
        <v/>
      </c>
      <c r="O84" s="32" t="str">
        <f t="shared" ref="O84:P84" ca="1" si="268">IF(OR($AB$1="",I84=""),"",I84-$AB$1)</f>
        <v/>
      </c>
      <c r="P84" s="32">
        <f t="shared" ca="1" si="268"/>
        <v>121</v>
      </c>
      <c r="Q84" s="32">
        <f t="shared" ca="1" si="3"/>
        <v>121</v>
      </c>
      <c r="S84" s="33">
        <f t="shared" ref="S84:Y84" ca="1" si="269">COUNTIF(K84, "&lt;30")</f>
        <v>0</v>
      </c>
      <c r="T84" s="33">
        <f t="shared" ca="1" si="269"/>
        <v>0</v>
      </c>
      <c r="U84" s="33">
        <f t="shared" ca="1" si="269"/>
        <v>0</v>
      </c>
      <c r="V84" s="33">
        <f t="shared" ca="1" si="269"/>
        <v>0</v>
      </c>
      <c r="W84" s="33">
        <f t="shared" ca="1" si="269"/>
        <v>0</v>
      </c>
      <c r="X84" s="33">
        <f t="shared" ca="1" si="269"/>
        <v>0</v>
      </c>
      <c r="Y84" s="33">
        <f t="shared" ca="1" si="269"/>
        <v>0</v>
      </c>
      <c r="Z84" s="34">
        <f t="shared" ca="1" si="149"/>
        <v>0</v>
      </c>
    </row>
    <row r="85" spans="1:30" ht="17.399999999999999">
      <c r="A85" s="3">
        <f t="shared" si="0"/>
        <v>82</v>
      </c>
      <c r="B85" s="90" t="s">
        <v>161</v>
      </c>
      <c r="C85" s="91" t="s">
        <v>61</v>
      </c>
      <c r="D85" s="28">
        <v>46292</v>
      </c>
      <c r="E85" s="28">
        <v>46292</v>
      </c>
      <c r="F85" s="92"/>
      <c r="G85" s="83"/>
      <c r="H85" s="28">
        <v>46292</v>
      </c>
      <c r="I85" s="83"/>
      <c r="J85" s="24">
        <v>46352</v>
      </c>
      <c r="K85" s="32">
        <f t="shared" ref="K85:N85" ca="1" si="270">IF(OR($AB$1="",D85=""),"",D85-$AB$1)</f>
        <v>-5</v>
      </c>
      <c r="L85" s="32">
        <f t="shared" ca="1" si="270"/>
        <v>-5</v>
      </c>
      <c r="M85" s="32" t="str">
        <f t="shared" ca="1" si="270"/>
        <v/>
      </c>
      <c r="N85" s="32" t="str">
        <f t="shared" ca="1" si="270"/>
        <v/>
      </c>
      <c r="O85" s="32" t="str">
        <f t="shared" ref="O85:P85" ca="1" si="271">IF(OR($AB$1="",I85=""),"",I85-$AB$1)</f>
        <v/>
      </c>
      <c r="P85" s="32">
        <f t="shared" ca="1" si="271"/>
        <v>55</v>
      </c>
      <c r="Q85" s="32">
        <f t="shared" ca="1" si="3"/>
        <v>55</v>
      </c>
      <c r="S85" s="33">
        <f t="shared" ref="S85:Y85" ca="1" si="272">COUNTIF(K85, "&lt;30")</f>
        <v>1</v>
      </c>
      <c r="T85" s="33">
        <f t="shared" ca="1" si="272"/>
        <v>1</v>
      </c>
      <c r="U85" s="33">
        <f t="shared" ca="1" si="272"/>
        <v>0</v>
      </c>
      <c r="V85" s="33">
        <f t="shared" ca="1" si="272"/>
        <v>0</v>
      </c>
      <c r="W85" s="33">
        <f t="shared" ca="1" si="272"/>
        <v>0</v>
      </c>
      <c r="X85" s="33">
        <f t="shared" ca="1" si="272"/>
        <v>0</v>
      </c>
      <c r="Y85" s="33">
        <f t="shared" ca="1" si="272"/>
        <v>0</v>
      </c>
      <c r="Z85" s="34">
        <f t="shared" ca="1" si="149"/>
        <v>2</v>
      </c>
      <c r="AA85" s="49"/>
      <c r="AB85" s="47"/>
      <c r="AC85" s="47"/>
      <c r="AD85" s="47"/>
    </row>
    <row r="86" spans="1:30" ht="17.399999999999999">
      <c r="A86" s="3">
        <f t="shared" si="0"/>
        <v>83</v>
      </c>
      <c r="B86" s="90" t="s">
        <v>164</v>
      </c>
      <c r="C86" s="23" t="s">
        <v>61</v>
      </c>
      <c r="D86" s="28">
        <v>46418</v>
      </c>
      <c r="E86" s="28">
        <v>46418</v>
      </c>
      <c r="F86" s="31"/>
      <c r="G86" s="82"/>
      <c r="H86" s="28">
        <v>46325</v>
      </c>
      <c r="I86" s="82"/>
      <c r="J86" s="42">
        <v>46376</v>
      </c>
      <c r="K86" s="32">
        <f t="shared" ref="K86:N86" ca="1" si="273">IF(OR($AB$1="",D86=""),"",D86-$AB$1)</f>
        <v>121</v>
      </c>
      <c r="L86" s="32">
        <f t="shared" ca="1" si="273"/>
        <v>121</v>
      </c>
      <c r="M86" s="32" t="str">
        <f t="shared" ca="1" si="273"/>
        <v/>
      </c>
      <c r="N86" s="32" t="str">
        <f t="shared" ca="1" si="273"/>
        <v/>
      </c>
      <c r="O86" s="32" t="str">
        <f t="shared" ref="O86:P86" ca="1" si="274">IF(OR($AB$1="",I86=""),"",I86-$AB$1)</f>
        <v/>
      </c>
      <c r="P86" s="32">
        <f t="shared" ca="1" si="274"/>
        <v>79</v>
      </c>
      <c r="Q86" s="32">
        <f t="shared" ca="1" si="3"/>
        <v>79</v>
      </c>
      <c r="S86" s="33">
        <f t="shared" ref="S86:Y86" ca="1" si="275">COUNTIF(K86, "&lt;30")</f>
        <v>0</v>
      </c>
      <c r="T86" s="33">
        <f t="shared" ca="1" si="275"/>
        <v>0</v>
      </c>
      <c r="U86" s="33">
        <f t="shared" ca="1" si="275"/>
        <v>0</v>
      </c>
      <c r="V86" s="33">
        <f t="shared" ca="1" si="275"/>
        <v>0</v>
      </c>
      <c r="W86" s="33">
        <f t="shared" ca="1" si="275"/>
        <v>0</v>
      </c>
      <c r="X86" s="33">
        <f t="shared" ca="1" si="275"/>
        <v>0</v>
      </c>
      <c r="Y86" s="33">
        <f t="shared" ca="1" si="275"/>
        <v>0</v>
      </c>
      <c r="Z86" s="34">
        <f t="shared" ca="1" si="149"/>
        <v>0</v>
      </c>
      <c r="AA86" s="52"/>
      <c r="AB86" s="47"/>
      <c r="AC86" s="47"/>
      <c r="AD86" s="47"/>
    </row>
    <row r="87" spans="1:30" ht="13.2">
      <c r="C87" s="95"/>
      <c r="F87" s="96"/>
    </row>
    <row r="88" spans="1:30" ht="16.8">
      <c r="A88" s="204" t="s">
        <v>166</v>
      </c>
      <c r="B88" s="184"/>
      <c r="C88" s="95"/>
      <c r="E88" s="205"/>
      <c r="F88" s="184"/>
      <c r="G88" s="184"/>
      <c r="H88" s="184"/>
      <c r="I88" s="184"/>
      <c r="J88" s="184"/>
      <c r="K88" s="184"/>
      <c r="S88" s="98">
        <f t="shared" ref="S88:Z88" ca="1" si="276">SUM(S4:S86)</f>
        <v>43</v>
      </c>
      <c r="T88" s="98">
        <f t="shared" ca="1" si="276"/>
        <v>42</v>
      </c>
      <c r="U88" s="98">
        <f t="shared" ca="1" si="276"/>
        <v>16</v>
      </c>
      <c r="V88" s="98">
        <f t="shared" ca="1" si="276"/>
        <v>2</v>
      </c>
      <c r="W88" s="98">
        <f t="shared" ca="1" si="276"/>
        <v>3</v>
      </c>
      <c r="X88" s="98">
        <f t="shared" ca="1" si="276"/>
        <v>44</v>
      </c>
      <c r="Y88" s="98">
        <f t="shared" ca="1" si="276"/>
        <v>44</v>
      </c>
      <c r="Z88" s="98">
        <f t="shared" ca="1" si="276"/>
        <v>194</v>
      </c>
    </row>
    <row r="89" spans="1:30" ht="19.2">
      <c r="A89" s="99"/>
      <c r="B89" s="71" t="s">
        <v>168</v>
      </c>
      <c r="C89" s="95"/>
      <c r="D89" s="206" t="s">
        <v>169</v>
      </c>
      <c r="E89" s="186"/>
      <c r="F89" s="186"/>
      <c r="G89" s="187"/>
      <c r="K89" s="100"/>
      <c r="S89" s="196">
        <f ca="1">SUM(S88:T88)</f>
        <v>85</v>
      </c>
      <c r="T89" s="184"/>
    </row>
    <row r="90" spans="1:30" ht="17.399999999999999">
      <c r="A90" s="101"/>
      <c r="B90" s="71" t="s">
        <v>170</v>
      </c>
      <c r="C90" s="95"/>
      <c r="D90" s="102" t="s">
        <v>6</v>
      </c>
      <c r="E90" s="102" t="s">
        <v>171</v>
      </c>
      <c r="F90" s="102" t="s">
        <v>172</v>
      </c>
      <c r="G90" s="102" t="s">
        <v>173</v>
      </c>
      <c r="K90" s="103"/>
    </row>
    <row r="91" spans="1:30" ht="17.399999999999999">
      <c r="A91" s="104"/>
      <c r="B91" s="71" t="s">
        <v>174</v>
      </c>
      <c r="C91" s="95"/>
      <c r="D91" s="105">
        <v>1</v>
      </c>
      <c r="E91" s="106" t="s">
        <v>175</v>
      </c>
      <c r="F91" s="105">
        <v>22</v>
      </c>
      <c r="G91" s="105">
        <v>4</v>
      </c>
      <c r="K91" s="103"/>
    </row>
    <row r="92" spans="1:30" ht="17.399999999999999">
      <c r="A92" s="107"/>
      <c r="B92" s="71" t="s">
        <v>176</v>
      </c>
      <c r="C92" s="95"/>
      <c r="D92" s="105">
        <v>2</v>
      </c>
      <c r="E92" s="106" t="s">
        <v>17</v>
      </c>
      <c r="F92" s="105">
        <v>7</v>
      </c>
      <c r="G92" s="105">
        <v>14</v>
      </c>
      <c r="K92" s="103"/>
    </row>
    <row r="93" spans="1:30" ht="19.2">
      <c r="C93" s="95"/>
      <c r="D93" s="105">
        <v>3</v>
      </c>
      <c r="E93" s="106" t="s">
        <v>14</v>
      </c>
      <c r="F93" s="105">
        <v>0</v>
      </c>
      <c r="G93" s="105">
        <v>16</v>
      </c>
      <c r="H93" s="108"/>
      <c r="I93" s="108"/>
      <c r="J93" s="108"/>
      <c r="K93" s="103"/>
    </row>
    <row r="94" spans="1:30" ht="17.399999999999999">
      <c r="C94" s="95"/>
      <c r="D94" s="105">
        <v>4</v>
      </c>
      <c r="E94" s="106" t="s">
        <v>177</v>
      </c>
      <c r="F94" s="207">
        <v>0</v>
      </c>
      <c r="G94" s="208">
        <v>10</v>
      </c>
      <c r="H94" s="109"/>
      <c r="I94" s="109"/>
      <c r="J94" s="109"/>
      <c r="K94" s="103"/>
    </row>
    <row r="95" spans="1:30" ht="17.399999999999999">
      <c r="C95" s="95"/>
      <c r="D95" s="105">
        <v>5</v>
      </c>
      <c r="E95" s="106" t="s">
        <v>178</v>
      </c>
      <c r="F95" s="182"/>
      <c r="G95" s="182"/>
      <c r="H95" s="110"/>
      <c r="I95" s="110"/>
      <c r="J95" s="110"/>
      <c r="K95" s="103"/>
    </row>
    <row r="96" spans="1:30" ht="17.399999999999999">
      <c r="C96" s="95"/>
      <c r="D96" s="19"/>
      <c r="E96" s="19"/>
      <c r="F96" s="19"/>
      <c r="G96" s="19"/>
      <c r="H96" s="110"/>
      <c r="I96" s="110"/>
      <c r="J96" s="110"/>
      <c r="K96" s="103"/>
    </row>
    <row r="97" spans="1:30" ht="28.8">
      <c r="C97" s="95"/>
      <c r="D97" s="197" t="s">
        <v>179</v>
      </c>
      <c r="E97" s="198"/>
      <c r="F97" s="199"/>
      <c r="G97" s="111"/>
      <c r="H97" s="110"/>
      <c r="I97" s="110"/>
      <c r="J97" s="110"/>
      <c r="K97" s="103"/>
    </row>
    <row r="98" spans="1:30" ht="28.8">
      <c r="C98" s="95"/>
      <c r="D98" s="200"/>
      <c r="E98" s="201"/>
      <c r="F98" s="202"/>
      <c r="G98" s="111"/>
      <c r="H98" s="112"/>
      <c r="I98" s="112"/>
      <c r="J98" s="203"/>
      <c r="K98" s="103"/>
    </row>
    <row r="99" spans="1:30" ht="17.399999999999999">
      <c r="C99" s="95"/>
      <c r="D99" s="92">
        <v>1</v>
      </c>
      <c r="E99" s="113" t="s">
        <v>180</v>
      </c>
      <c r="F99" s="92">
        <v>8</v>
      </c>
      <c r="G99" s="114"/>
      <c r="H99" s="112"/>
      <c r="I99" s="112"/>
      <c r="J99" s="184"/>
      <c r="K99" s="103"/>
    </row>
    <row r="100" spans="1:30" ht="16.8">
      <c r="C100" s="95"/>
      <c r="D100" s="92">
        <v>2</v>
      </c>
      <c r="E100" s="113" t="s">
        <v>181</v>
      </c>
      <c r="F100" s="92">
        <v>36</v>
      </c>
      <c r="G100" s="114"/>
      <c r="H100" s="114"/>
      <c r="I100" s="114"/>
      <c r="J100" s="103"/>
      <c r="K100" s="103"/>
    </row>
    <row r="101" spans="1:30" ht="16.8">
      <c r="C101" s="95"/>
      <c r="D101" s="92">
        <v>3</v>
      </c>
      <c r="E101" s="113" t="s">
        <v>182</v>
      </c>
      <c r="F101" s="92">
        <v>5</v>
      </c>
      <c r="G101" s="114"/>
      <c r="H101" s="114"/>
      <c r="I101" s="114"/>
      <c r="J101" s="103"/>
      <c r="K101" s="103"/>
    </row>
    <row r="102" spans="1:30" ht="16.8">
      <c r="C102" s="95"/>
      <c r="D102" s="92">
        <v>4</v>
      </c>
      <c r="E102" s="113" t="s">
        <v>183</v>
      </c>
      <c r="F102" s="92">
        <v>10</v>
      </c>
      <c r="G102" s="114"/>
      <c r="H102" s="114"/>
      <c r="I102" s="114"/>
      <c r="J102" s="103"/>
      <c r="K102" s="103"/>
    </row>
    <row r="103" spans="1:30" ht="17.399999999999999">
      <c r="A103" s="53"/>
      <c r="B103" s="53"/>
      <c r="C103" s="115"/>
      <c r="D103" s="92">
        <v>5</v>
      </c>
      <c r="E103" s="116" t="s">
        <v>184</v>
      </c>
      <c r="F103" s="92">
        <v>50</v>
      </c>
      <c r="G103" s="80"/>
      <c r="H103" s="80"/>
      <c r="I103" s="114"/>
      <c r="J103" s="103"/>
      <c r="K103" s="117"/>
      <c r="L103" s="117"/>
      <c r="M103" s="117"/>
      <c r="N103" s="117"/>
      <c r="O103" s="117"/>
      <c r="P103" s="117"/>
      <c r="Q103" s="117"/>
      <c r="R103" s="103"/>
      <c r="S103" s="118"/>
      <c r="T103" s="118"/>
      <c r="U103" s="118"/>
      <c r="V103" s="118"/>
      <c r="W103" s="118"/>
      <c r="X103" s="118"/>
      <c r="Y103" s="118"/>
      <c r="Z103" s="119"/>
      <c r="AA103" s="103"/>
      <c r="AB103" s="103"/>
      <c r="AC103" s="103"/>
      <c r="AD103" s="103"/>
    </row>
    <row r="104" spans="1:30" ht="17.399999999999999">
      <c r="A104" s="53"/>
      <c r="B104" s="53"/>
      <c r="C104" s="115"/>
      <c r="D104" s="92">
        <v>6</v>
      </c>
      <c r="E104" s="120" t="s">
        <v>185</v>
      </c>
      <c r="F104" s="41">
        <v>50</v>
      </c>
      <c r="G104" s="80"/>
      <c r="H104" s="80"/>
      <c r="I104" s="114"/>
      <c r="J104" s="103"/>
      <c r="K104" s="117"/>
      <c r="L104" s="117"/>
      <c r="M104" s="117"/>
      <c r="N104" s="117"/>
      <c r="O104" s="117"/>
      <c r="P104" s="117"/>
      <c r="Q104" s="117"/>
      <c r="R104" s="103"/>
      <c r="S104" s="118"/>
      <c r="T104" s="118"/>
      <c r="U104" s="118"/>
      <c r="V104" s="118"/>
      <c r="W104" s="118"/>
      <c r="X104" s="118"/>
      <c r="Y104" s="118"/>
      <c r="Z104" s="119"/>
      <c r="AA104" s="103"/>
      <c r="AB104" s="103"/>
      <c r="AC104" s="103"/>
      <c r="AD104" s="103"/>
    </row>
    <row r="105" spans="1:30" ht="17.399999999999999">
      <c r="A105" s="53"/>
      <c r="B105" s="53"/>
      <c r="C105" s="115"/>
      <c r="D105" s="92">
        <v>7</v>
      </c>
      <c r="E105" s="120" t="s">
        <v>186</v>
      </c>
      <c r="F105" s="41">
        <v>10</v>
      </c>
      <c r="G105" s="80"/>
      <c r="H105" s="80"/>
      <c r="I105" s="114"/>
      <c r="J105" s="103"/>
      <c r="K105" s="117"/>
      <c r="L105" s="117"/>
      <c r="M105" s="117"/>
      <c r="N105" s="117"/>
      <c r="O105" s="117"/>
      <c r="P105" s="117"/>
      <c r="Q105" s="117"/>
      <c r="R105" s="103"/>
      <c r="S105" s="118"/>
      <c r="T105" s="118"/>
      <c r="U105" s="118"/>
      <c r="V105" s="118"/>
      <c r="W105" s="118"/>
      <c r="X105" s="118"/>
      <c r="Y105" s="118"/>
      <c r="Z105" s="119"/>
      <c r="AA105" s="103"/>
      <c r="AB105" s="103"/>
      <c r="AC105" s="103"/>
      <c r="AD105" s="103"/>
    </row>
    <row r="106" spans="1:30" ht="17.399999999999999">
      <c r="A106" s="53"/>
      <c r="B106" s="53"/>
      <c r="C106" s="115"/>
      <c r="D106" s="121"/>
      <c r="E106" s="121"/>
      <c r="F106" s="80"/>
      <c r="G106" s="79"/>
      <c r="H106" s="79"/>
      <c r="I106" s="79"/>
      <c r="J106" s="79"/>
      <c r="K106" s="117"/>
      <c r="L106" s="117"/>
      <c r="M106" s="117"/>
      <c r="N106" s="117"/>
      <c r="O106" s="117"/>
      <c r="P106" s="117"/>
      <c r="Q106" s="117"/>
      <c r="R106" s="103"/>
      <c r="S106" s="118"/>
      <c r="T106" s="118"/>
      <c r="U106" s="118"/>
      <c r="V106" s="118"/>
      <c r="W106" s="118"/>
      <c r="X106" s="118"/>
      <c r="Y106" s="118"/>
      <c r="Z106" s="119"/>
      <c r="AA106" s="103"/>
      <c r="AB106" s="103"/>
      <c r="AC106" s="103"/>
      <c r="AD106" s="103"/>
    </row>
    <row r="107" spans="1:30" ht="17.399999999999999">
      <c r="A107" s="53"/>
      <c r="B107" s="53"/>
      <c r="C107" s="115"/>
      <c r="D107" s="79"/>
      <c r="E107" s="79"/>
      <c r="F107" s="80"/>
      <c r="G107" s="122"/>
      <c r="H107" s="122"/>
      <c r="I107" s="122"/>
      <c r="J107" s="122"/>
      <c r="K107" s="117"/>
      <c r="L107" s="117"/>
      <c r="M107" s="117"/>
      <c r="N107" s="117"/>
      <c r="O107" s="117"/>
      <c r="P107" s="117"/>
      <c r="Q107" s="117"/>
      <c r="R107" s="103"/>
      <c r="S107" s="118"/>
      <c r="T107" s="118"/>
      <c r="U107" s="118"/>
      <c r="V107" s="118"/>
      <c r="W107" s="118"/>
      <c r="X107" s="118"/>
      <c r="Y107" s="118"/>
      <c r="Z107" s="119"/>
      <c r="AA107" s="103"/>
      <c r="AB107" s="103"/>
      <c r="AC107" s="103"/>
      <c r="AD107" s="103"/>
    </row>
    <row r="108" spans="1:30" ht="17.399999999999999">
      <c r="A108" s="53"/>
      <c r="B108" s="53"/>
      <c r="C108" s="115"/>
      <c r="D108" s="80"/>
      <c r="E108" s="80"/>
      <c r="F108" s="80"/>
      <c r="G108" s="122"/>
      <c r="H108" s="122"/>
      <c r="I108" s="122"/>
      <c r="J108" s="122"/>
      <c r="K108" s="117"/>
      <c r="L108" s="117"/>
      <c r="M108" s="117"/>
      <c r="N108" s="117"/>
      <c r="O108" s="117"/>
      <c r="P108" s="117"/>
      <c r="Q108" s="117"/>
      <c r="R108" s="103"/>
      <c r="S108" s="118"/>
      <c r="T108" s="118"/>
      <c r="U108" s="118"/>
      <c r="V108" s="118"/>
      <c r="W108" s="118"/>
      <c r="X108" s="118"/>
      <c r="Y108" s="118"/>
      <c r="Z108" s="119"/>
      <c r="AA108" s="103"/>
      <c r="AB108" s="103"/>
      <c r="AC108" s="103"/>
      <c r="AD108" s="103"/>
    </row>
    <row r="109" spans="1:30" ht="17.399999999999999">
      <c r="A109" s="53"/>
      <c r="B109" s="123"/>
      <c r="C109" s="115"/>
      <c r="D109" s="80"/>
      <c r="E109" s="80"/>
      <c r="F109" s="80"/>
      <c r="G109" s="80"/>
      <c r="H109" s="80"/>
      <c r="I109" s="80"/>
      <c r="J109" s="80"/>
      <c r="K109" s="117"/>
      <c r="L109" s="117"/>
      <c r="M109" s="117"/>
      <c r="N109" s="117"/>
      <c r="O109" s="117"/>
      <c r="P109" s="117"/>
      <c r="Q109" s="117"/>
      <c r="R109" s="103"/>
      <c r="S109" s="118"/>
      <c r="T109" s="118"/>
      <c r="U109" s="118"/>
      <c r="V109" s="118"/>
      <c r="W109" s="118"/>
      <c r="X109" s="118"/>
      <c r="Y109" s="118"/>
      <c r="Z109" s="119"/>
      <c r="AA109" s="103"/>
      <c r="AB109" s="103"/>
      <c r="AC109" s="103"/>
      <c r="AD109" s="103"/>
    </row>
    <row r="110" spans="1:30" ht="17.399999999999999">
      <c r="A110" s="53"/>
      <c r="B110" s="53"/>
      <c r="C110" s="115"/>
      <c r="D110" s="121"/>
      <c r="E110" s="121"/>
      <c r="F110" s="80"/>
      <c r="G110" s="80"/>
      <c r="H110" s="80"/>
      <c r="I110" s="80"/>
      <c r="J110" s="80"/>
      <c r="K110" s="117"/>
      <c r="L110" s="117"/>
      <c r="M110" s="117"/>
      <c r="N110" s="117"/>
      <c r="O110" s="117"/>
      <c r="P110" s="117"/>
      <c r="Q110" s="117"/>
      <c r="R110" s="103"/>
      <c r="S110" s="118"/>
      <c r="T110" s="118"/>
      <c r="U110" s="118"/>
      <c r="V110" s="118"/>
      <c r="W110" s="118"/>
      <c r="X110" s="118"/>
      <c r="Y110" s="118"/>
      <c r="Z110" s="119"/>
      <c r="AA110" s="103"/>
      <c r="AB110" s="103"/>
      <c r="AC110" s="103"/>
      <c r="AD110" s="103"/>
    </row>
    <row r="111" spans="1:30" ht="17.399999999999999">
      <c r="A111" s="53"/>
      <c r="B111" s="53"/>
      <c r="C111" s="115"/>
      <c r="D111" s="80"/>
      <c r="E111" s="80"/>
      <c r="F111" s="80"/>
      <c r="G111" s="80"/>
      <c r="H111" s="80"/>
      <c r="I111" s="80"/>
      <c r="J111" s="80"/>
      <c r="K111" s="117"/>
      <c r="L111" s="117"/>
      <c r="M111" s="117"/>
      <c r="N111" s="117"/>
      <c r="O111" s="117"/>
      <c r="P111" s="117"/>
      <c r="Q111" s="117"/>
      <c r="R111" s="103"/>
      <c r="S111" s="118"/>
      <c r="T111" s="118"/>
      <c r="U111" s="118"/>
      <c r="V111" s="118"/>
      <c r="W111" s="118"/>
      <c r="X111" s="118"/>
      <c r="Y111" s="118"/>
      <c r="Z111" s="119"/>
      <c r="AA111" s="103"/>
      <c r="AB111" s="103"/>
      <c r="AC111" s="103"/>
      <c r="AD111" s="103"/>
    </row>
    <row r="112" spans="1:30" ht="17.399999999999999">
      <c r="A112" s="53"/>
      <c r="B112" s="53"/>
      <c r="C112" s="115"/>
      <c r="D112" s="79"/>
      <c r="E112" s="79"/>
      <c r="F112" s="80"/>
      <c r="G112" s="79"/>
      <c r="H112" s="79"/>
      <c r="I112" s="79"/>
      <c r="J112" s="79"/>
      <c r="K112" s="117"/>
      <c r="L112" s="117"/>
      <c r="M112" s="117"/>
      <c r="N112" s="117"/>
      <c r="O112" s="117"/>
      <c r="P112" s="117"/>
      <c r="Q112" s="117"/>
      <c r="R112" s="103"/>
      <c r="S112" s="118"/>
      <c r="T112" s="118"/>
      <c r="U112" s="118"/>
      <c r="V112" s="118"/>
      <c r="W112" s="118"/>
      <c r="X112" s="118"/>
      <c r="Y112" s="118"/>
      <c r="Z112" s="119"/>
      <c r="AA112" s="103"/>
      <c r="AB112" s="103"/>
      <c r="AC112" s="103"/>
      <c r="AD112" s="103"/>
    </row>
    <row r="113" spans="1:30" ht="17.399999999999999">
      <c r="A113" s="53"/>
      <c r="B113" s="53"/>
      <c r="C113" s="115"/>
      <c r="D113" s="80"/>
      <c r="E113" s="80"/>
      <c r="F113" s="80"/>
      <c r="G113" s="80"/>
      <c r="H113" s="80"/>
      <c r="I113" s="80"/>
      <c r="J113" s="80"/>
      <c r="K113" s="117"/>
      <c r="L113" s="117"/>
      <c r="M113" s="117"/>
      <c r="N113" s="117"/>
      <c r="O113" s="117"/>
      <c r="P113" s="117"/>
      <c r="Q113" s="117"/>
      <c r="R113" s="103"/>
      <c r="S113" s="118"/>
      <c r="T113" s="118"/>
      <c r="U113" s="118"/>
      <c r="V113" s="118"/>
      <c r="W113" s="118"/>
      <c r="X113" s="118"/>
      <c r="Y113" s="118"/>
      <c r="Z113" s="119"/>
      <c r="AA113" s="103"/>
      <c r="AB113" s="103"/>
      <c r="AC113" s="103"/>
      <c r="AD113" s="103"/>
    </row>
    <row r="114" spans="1:30" ht="17.399999999999999">
      <c r="A114" s="53"/>
      <c r="B114" s="53"/>
      <c r="C114" s="115"/>
      <c r="D114" s="80"/>
      <c r="E114" s="80"/>
      <c r="F114" s="80"/>
      <c r="G114" s="80"/>
      <c r="H114" s="80"/>
      <c r="I114" s="80"/>
      <c r="J114" s="80"/>
      <c r="K114" s="117"/>
      <c r="L114" s="117"/>
      <c r="M114" s="117"/>
      <c r="N114" s="117"/>
      <c r="O114" s="117"/>
      <c r="P114" s="117"/>
      <c r="Q114" s="117"/>
      <c r="R114" s="103"/>
      <c r="S114" s="118"/>
      <c r="T114" s="118"/>
      <c r="U114" s="118"/>
      <c r="V114" s="118"/>
      <c r="W114" s="118"/>
      <c r="X114" s="118"/>
      <c r="Y114" s="118"/>
      <c r="Z114" s="119"/>
      <c r="AA114" s="103"/>
      <c r="AB114" s="103"/>
      <c r="AC114" s="103"/>
      <c r="AD114" s="103"/>
    </row>
    <row r="115" spans="1:30" ht="17.399999999999999">
      <c r="A115" s="53"/>
      <c r="B115" s="53"/>
      <c r="C115" s="115"/>
      <c r="D115" s="80"/>
      <c r="E115" s="80"/>
      <c r="F115" s="80"/>
      <c r="G115" s="80"/>
      <c r="H115" s="80"/>
      <c r="I115" s="80"/>
      <c r="J115" s="80"/>
      <c r="K115" s="117"/>
      <c r="L115" s="117"/>
      <c r="M115" s="117"/>
      <c r="N115" s="117"/>
      <c r="O115" s="117"/>
      <c r="P115" s="117"/>
      <c r="Q115" s="117"/>
      <c r="R115" s="103"/>
      <c r="S115" s="118"/>
      <c r="T115" s="118"/>
      <c r="U115" s="118"/>
      <c r="V115" s="118"/>
      <c r="W115" s="118"/>
      <c r="X115" s="118"/>
      <c r="Y115" s="118"/>
      <c r="Z115" s="119"/>
      <c r="AA115" s="103"/>
      <c r="AB115" s="103"/>
      <c r="AC115" s="103"/>
      <c r="AD115" s="103"/>
    </row>
    <row r="116" spans="1:30" ht="17.399999999999999">
      <c r="A116" s="53"/>
      <c r="B116" s="123"/>
      <c r="C116" s="115"/>
      <c r="D116" s="79"/>
      <c r="E116" s="79"/>
      <c r="F116" s="80"/>
      <c r="G116" s="122"/>
      <c r="H116" s="122"/>
      <c r="I116" s="122"/>
      <c r="J116" s="122"/>
      <c r="K116" s="117"/>
      <c r="L116" s="117"/>
      <c r="M116" s="117"/>
      <c r="N116" s="117"/>
      <c r="O116" s="117"/>
      <c r="P116" s="117"/>
      <c r="Q116" s="117"/>
      <c r="R116" s="103"/>
      <c r="S116" s="118"/>
      <c r="T116" s="118"/>
      <c r="U116" s="118"/>
      <c r="V116" s="118"/>
      <c r="W116" s="118"/>
      <c r="X116" s="118"/>
      <c r="Y116" s="118"/>
      <c r="Z116" s="119"/>
      <c r="AA116" s="103"/>
      <c r="AB116" s="103"/>
      <c r="AC116" s="103"/>
      <c r="AD116" s="103"/>
    </row>
    <row r="117" spans="1:30" ht="17.399999999999999">
      <c r="A117" s="53"/>
      <c r="B117" s="123"/>
      <c r="C117" s="115"/>
      <c r="D117" s="80"/>
      <c r="E117" s="80"/>
      <c r="F117" s="80"/>
      <c r="G117" s="80"/>
      <c r="H117" s="80"/>
      <c r="I117" s="80"/>
      <c r="J117" s="80"/>
      <c r="K117" s="117"/>
      <c r="L117" s="117"/>
      <c r="M117" s="117"/>
      <c r="N117" s="117"/>
      <c r="O117" s="117"/>
      <c r="P117" s="117"/>
      <c r="Q117" s="117"/>
      <c r="R117" s="103"/>
      <c r="S117" s="118"/>
      <c r="T117" s="118"/>
      <c r="U117" s="118"/>
      <c r="V117" s="118"/>
      <c r="W117" s="118"/>
      <c r="X117" s="118"/>
      <c r="Y117" s="118"/>
      <c r="Z117" s="119"/>
      <c r="AA117" s="103"/>
      <c r="AB117" s="103"/>
      <c r="AC117" s="103"/>
      <c r="AD117" s="103"/>
    </row>
    <row r="118" spans="1:30" ht="17.399999999999999">
      <c r="A118" s="53"/>
      <c r="B118" s="123"/>
      <c r="C118" s="124"/>
      <c r="D118" s="80"/>
      <c r="E118" s="80"/>
      <c r="F118" s="80"/>
      <c r="G118" s="80"/>
      <c r="H118" s="80"/>
      <c r="I118" s="80"/>
      <c r="J118" s="80"/>
      <c r="K118" s="117"/>
      <c r="L118" s="117"/>
      <c r="M118" s="117"/>
      <c r="N118" s="117"/>
      <c r="O118" s="117"/>
      <c r="P118" s="117"/>
      <c r="Q118" s="117"/>
      <c r="R118" s="103"/>
      <c r="S118" s="118"/>
      <c r="T118" s="118"/>
      <c r="U118" s="118"/>
      <c r="V118" s="118"/>
      <c r="W118" s="118"/>
      <c r="X118" s="118"/>
      <c r="Y118" s="118"/>
      <c r="Z118" s="119"/>
      <c r="AA118" s="103"/>
      <c r="AB118" s="103"/>
      <c r="AC118" s="103"/>
      <c r="AD118" s="103"/>
    </row>
    <row r="119" spans="1:30" ht="17.399999999999999">
      <c r="A119" s="53"/>
      <c r="B119" s="123"/>
      <c r="C119" s="124"/>
      <c r="D119" s="79"/>
      <c r="E119" s="79"/>
      <c r="F119" s="79"/>
      <c r="G119" s="79"/>
      <c r="H119" s="79"/>
      <c r="I119" s="79"/>
      <c r="J119" s="79"/>
      <c r="K119" s="117"/>
      <c r="L119" s="117"/>
      <c r="M119" s="117"/>
      <c r="N119" s="117"/>
      <c r="O119" s="117"/>
      <c r="P119" s="117"/>
      <c r="Q119" s="117"/>
      <c r="R119" s="103"/>
      <c r="S119" s="118"/>
      <c r="T119" s="118"/>
      <c r="U119" s="118"/>
      <c r="V119" s="118"/>
      <c r="W119" s="118"/>
      <c r="X119" s="118"/>
      <c r="Y119" s="118"/>
      <c r="Z119" s="119"/>
      <c r="AA119" s="103"/>
      <c r="AB119" s="103"/>
      <c r="AC119" s="103"/>
      <c r="AD119" s="103"/>
    </row>
    <row r="120" spans="1:30" ht="17.399999999999999">
      <c r="A120" s="53"/>
      <c r="B120" s="123"/>
      <c r="C120" s="124"/>
      <c r="D120" s="79"/>
      <c r="E120" s="79"/>
      <c r="F120" s="79"/>
      <c r="G120" s="79"/>
      <c r="H120" s="79"/>
      <c r="I120" s="79"/>
      <c r="J120" s="79"/>
      <c r="K120" s="117"/>
      <c r="L120" s="117"/>
      <c r="M120" s="117"/>
      <c r="N120" s="117"/>
      <c r="O120" s="117"/>
      <c r="P120" s="117"/>
      <c r="Q120" s="117"/>
      <c r="R120" s="103"/>
      <c r="S120" s="118"/>
      <c r="T120" s="118"/>
      <c r="U120" s="118"/>
      <c r="V120" s="118"/>
      <c r="W120" s="118"/>
      <c r="X120" s="118"/>
      <c r="Y120" s="118"/>
      <c r="Z120" s="119"/>
      <c r="AA120" s="103"/>
      <c r="AB120" s="103"/>
      <c r="AC120" s="103"/>
      <c r="AD120" s="103"/>
    </row>
    <row r="121" spans="1:30" ht="17.399999999999999">
      <c r="A121" s="53"/>
      <c r="B121" s="123"/>
      <c r="C121" s="124"/>
      <c r="D121" s="79"/>
      <c r="E121" s="79"/>
      <c r="F121" s="79"/>
      <c r="G121" s="79"/>
      <c r="H121" s="79"/>
      <c r="I121" s="79"/>
      <c r="J121" s="79"/>
      <c r="K121" s="117"/>
      <c r="L121" s="117"/>
      <c r="M121" s="117"/>
      <c r="N121" s="117"/>
      <c r="O121" s="117"/>
      <c r="P121" s="117"/>
      <c r="Q121" s="117"/>
      <c r="R121" s="103"/>
      <c r="S121" s="118"/>
      <c r="T121" s="118"/>
      <c r="U121" s="118"/>
      <c r="V121" s="118"/>
      <c r="W121" s="118"/>
      <c r="X121" s="118"/>
      <c r="Y121" s="118"/>
      <c r="Z121" s="119"/>
      <c r="AA121" s="103"/>
      <c r="AB121" s="103"/>
      <c r="AC121" s="103"/>
      <c r="AD121" s="103"/>
    </row>
    <row r="122" spans="1:30" ht="13.2">
      <c r="C122" s="95"/>
      <c r="E122" s="125"/>
      <c r="F122" s="126"/>
      <c r="G122" s="125"/>
      <c r="H122" s="125"/>
      <c r="I122" s="125"/>
      <c r="J122" s="125"/>
    </row>
    <row r="123" spans="1:30" ht="13.2">
      <c r="C123" s="95"/>
      <c r="E123" s="125"/>
      <c r="F123" s="126"/>
      <c r="G123" s="127"/>
      <c r="H123" s="127"/>
      <c r="I123" s="127"/>
      <c r="J123" s="127"/>
    </row>
    <row r="124" spans="1:30" ht="13.2">
      <c r="C124" s="95"/>
      <c r="E124" s="125"/>
      <c r="F124" s="126"/>
      <c r="G124" s="125"/>
      <c r="H124" s="125"/>
      <c r="I124" s="125"/>
      <c r="J124" s="125"/>
    </row>
    <row r="125" spans="1:30" ht="13.2">
      <c r="C125" s="95"/>
      <c r="E125" s="125"/>
      <c r="F125" s="126"/>
      <c r="G125" s="125"/>
      <c r="H125" s="125"/>
      <c r="I125" s="125"/>
      <c r="J125" s="125"/>
    </row>
    <row r="126" spans="1:30" ht="13.2">
      <c r="C126" s="95"/>
      <c r="E126" s="125"/>
      <c r="F126" s="126"/>
      <c r="G126" s="125"/>
      <c r="H126" s="125"/>
      <c r="I126" s="125"/>
      <c r="J126" s="125"/>
    </row>
    <row r="127" spans="1:30" ht="13.2">
      <c r="C127" s="95"/>
      <c r="E127" s="125"/>
      <c r="F127" s="126"/>
      <c r="G127" s="125"/>
      <c r="H127" s="125"/>
      <c r="I127" s="125"/>
      <c r="J127" s="125"/>
    </row>
    <row r="128" spans="1:30" ht="13.2">
      <c r="C128" s="95"/>
      <c r="E128" s="125"/>
      <c r="F128" s="126"/>
      <c r="G128" s="125"/>
      <c r="H128" s="125"/>
      <c r="I128" s="125"/>
      <c r="J128" s="125"/>
    </row>
    <row r="129" spans="3:10" ht="13.2">
      <c r="C129" s="95"/>
      <c r="E129" s="125"/>
      <c r="F129" s="126"/>
      <c r="G129" s="125"/>
      <c r="H129" s="125"/>
      <c r="I129" s="125"/>
      <c r="J129" s="125"/>
    </row>
    <row r="130" spans="3:10" ht="13.2">
      <c r="C130" s="95"/>
      <c r="E130" s="125"/>
      <c r="F130" s="126"/>
      <c r="G130" s="125"/>
      <c r="H130" s="125"/>
      <c r="I130" s="125"/>
      <c r="J130" s="125"/>
    </row>
    <row r="131" spans="3:10" ht="13.2">
      <c r="C131" s="95"/>
    </row>
    <row r="132" spans="3:10" ht="13.2">
      <c r="C132" s="95"/>
    </row>
    <row r="133" spans="3:10" ht="13.2">
      <c r="C133" s="95"/>
    </row>
    <row r="134" spans="3:10" ht="13.2">
      <c r="C134" s="95"/>
    </row>
    <row r="135" spans="3:10" ht="13.2">
      <c r="C135" s="95"/>
    </row>
    <row r="136" spans="3:10" ht="13.2">
      <c r="C136" s="95"/>
    </row>
    <row r="137" spans="3:10" ht="13.2">
      <c r="C137" s="95"/>
    </row>
    <row r="138" spans="3:10" ht="13.2">
      <c r="C138" s="95"/>
    </row>
    <row r="139" spans="3:10" ht="13.2">
      <c r="C139" s="95"/>
    </row>
    <row r="140" spans="3:10" ht="13.2">
      <c r="C140" s="95"/>
    </row>
    <row r="141" spans="3:10" ht="13.2">
      <c r="C141" s="95"/>
    </row>
    <row r="142" spans="3:10" ht="13.2">
      <c r="C142" s="95"/>
    </row>
    <row r="143" spans="3:10" ht="13.2">
      <c r="C143" s="95"/>
    </row>
    <row r="144" spans="3:10" ht="13.2">
      <c r="C144" s="95"/>
    </row>
    <row r="145" spans="3:3" ht="13.2">
      <c r="C145" s="95"/>
    </row>
    <row r="146" spans="3:3" ht="13.2">
      <c r="C146" s="95"/>
    </row>
    <row r="147" spans="3:3" ht="13.2">
      <c r="C147" s="95"/>
    </row>
    <row r="148" spans="3:3" ht="13.2">
      <c r="C148" s="95"/>
    </row>
    <row r="149" spans="3:3" ht="13.2">
      <c r="C149" s="95"/>
    </row>
    <row r="150" spans="3:3" ht="13.2">
      <c r="C150" s="95"/>
    </row>
    <row r="151" spans="3:3" ht="13.2">
      <c r="C151" s="95"/>
    </row>
    <row r="152" spans="3:3" ht="13.2">
      <c r="C152" s="95"/>
    </row>
    <row r="153" spans="3:3" ht="13.2">
      <c r="C153" s="95"/>
    </row>
    <row r="154" spans="3:3" ht="13.2">
      <c r="C154" s="95"/>
    </row>
    <row r="155" spans="3:3" ht="13.2">
      <c r="C155" s="95"/>
    </row>
    <row r="156" spans="3:3" ht="13.2">
      <c r="C156" s="95"/>
    </row>
    <row r="157" spans="3:3" ht="13.2">
      <c r="C157" s="95"/>
    </row>
    <row r="158" spans="3:3" ht="13.2">
      <c r="C158" s="95"/>
    </row>
    <row r="159" spans="3:3" ht="13.2">
      <c r="C159" s="95"/>
    </row>
    <row r="160" spans="3:3" ht="13.2">
      <c r="C160" s="95"/>
    </row>
    <row r="161" spans="3:3" ht="13.2">
      <c r="C161" s="95"/>
    </row>
    <row r="162" spans="3:3" ht="13.2">
      <c r="C162" s="95"/>
    </row>
    <row r="163" spans="3:3" ht="13.2">
      <c r="C163" s="95"/>
    </row>
    <row r="164" spans="3:3" ht="13.2">
      <c r="C164" s="95"/>
    </row>
    <row r="165" spans="3:3" ht="13.2">
      <c r="C165" s="95"/>
    </row>
    <row r="166" spans="3:3" ht="13.2">
      <c r="C166" s="95"/>
    </row>
    <row r="167" spans="3:3" ht="13.2">
      <c r="C167" s="95"/>
    </row>
    <row r="168" spans="3:3" ht="13.2">
      <c r="C168" s="95"/>
    </row>
    <row r="169" spans="3:3" ht="13.2">
      <c r="C169" s="95"/>
    </row>
    <row r="170" spans="3:3" ht="13.2">
      <c r="C170" s="95"/>
    </row>
    <row r="171" spans="3:3" ht="13.2">
      <c r="C171" s="95"/>
    </row>
    <row r="172" spans="3:3" ht="13.2">
      <c r="C172" s="95"/>
    </row>
    <row r="173" spans="3:3" ht="13.2">
      <c r="C173" s="95"/>
    </row>
    <row r="174" spans="3:3" ht="13.2">
      <c r="C174" s="95"/>
    </row>
    <row r="175" spans="3:3" ht="13.2">
      <c r="C175" s="95"/>
    </row>
    <row r="176" spans="3:3" ht="13.2">
      <c r="C176" s="95"/>
    </row>
    <row r="177" spans="3:3" ht="13.2">
      <c r="C177" s="95"/>
    </row>
    <row r="178" spans="3:3" ht="13.2">
      <c r="C178" s="95"/>
    </row>
    <row r="179" spans="3:3" ht="13.2">
      <c r="C179" s="95"/>
    </row>
    <row r="180" spans="3:3" ht="13.2">
      <c r="C180" s="95"/>
    </row>
    <row r="181" spans="3:3" ht="13.2">
      <c r="C181" s="95"/>
    </row>
    <row r="182" spans="3:3" ht="13.2">
      <c r="C182" s="95"/>
    </row>
    <row r="183" spans="3:3" ht="13.2">
      <c r="C183" s="95"/>
    </row>
    <row r="184" spans="3:3" ht="13.2">
      <c r="C184" s="95"/>
    </row>
    <row r="185" spans="3:3" ht="13.2">
      <c r="C185" s="95"/>
    </row>
    <row r="186" spans="3:3" ht="13.2">
      <c r="C186" s="95"/>
    </row>
    <row r="187" spans="3:3" ht="13.2">
      <c r="C187" s="95"/>
    </row>
    <row r="188" spans="3:3" ht="13.2">
      <c r="C188" s="95"/>
    </row>
    <row r="189" spans="3:3" ht="13.2">
      <c r="C189" s="95"/>
    </row>
    <row r="190" spans="3:3" ht="13.2">
      <c r="C190" s="95"/>
    </row>
    <row r="191" spans="3:3" ht="13.2">
      <c r="C191" s="95"/>
    </row>
    <row r="192" spans="3:3" ht="13.2">
      <c r="C192" s="95"/>
    </row>
    <row r="193" spans="3:3" ht="13.2">
      <c r="C193" s="95"/>
    </row>
    <row r="194" spans="3:3" ht="13.2">
      <c r="C194" s="95"/>
    </row>
    <row r="195" spans="3:3" ht="13.2">
      <c r="C195" s="95"/>
    </row>
    <row r="196" spans="3:3" ht="13.2">
      <c r="C196" s="95"/>
    </row>
    <row r="197" spans="3:3" ht="13.2">
      <c r="C197" s="95"/>
    </row>
    <row r="198" spans="3:3" ht="13.2">
      <c r="C198" s="95"/>
    </row>
    <row r="199" spans="3:3" ht="13.2">
      <c r="C199" s="95"/>
    </row>
    <row r="200" spans="3:3" ht="13.2">
      <c r="C200" s="95"/>
    </row>
    <row r="201" spans="3:3" ht="13.2">
      <c r="C201" s="95"/>
    </row>
    <row r="202" spans="3:3" ht="13.2">
      <c r="C202" s="95"/>
    </row>
    <row r="203" spans="3:3" ht="13.2">
      <c r="C203" s="95"/>
    </row>
    <row r="204" spans="3:3" ht="13.2">
      <c r="C204" s="95"/>
    </row>
    <row r="205" spans="3:3" ht="13.2">
      <c r="C205" s="95"/>
    </row>
    <row r="206" spans="3:3" ht="13.2">
      <c r="C206" s="95"/>
    </row>
    <row r="207" spans="3:3" ht="13.2">
      <c r="C207" s="95"/>
    </row>
    <row r="208" spans="3:3" ht="13.2">
      <c r="C208" s="95"/>
    </row>
    <row r="209" spans="3:3" ht="13.2">
      <c r="C209" s="95"/>
    </row>
    <row r="210" spans="3:3" ht="13.2">
      <c r="C210" s="95"/>
    </row>
    <row r="211" spans="3:3" ht="13.2">
      <c r="C211" s="95"/>
    </row>
    <row r="212" spans="3:3" ht="13.2">
      <c r="C212" s="95"/>
    </row>
    <row r="213" spans="3:3" ht="13.2">
      <c r="C213" s="95"/>
    </row>
    <row r="214" spans="3:3" ht="13.2">
      <c r="C214" s="95"/>
    </row>
    <row r="215" spans="3:3" ht="13.2">
      <c r="C215" s="95"/>
    </row>
    <row r="216" spans="3:3" ht="13.2">
      <c r="C216" s="95"/>
    </row>
    <row r="217" spans="3:3" ht="13.2">
      <c r="C217" s="95"/>
    </row>
    <row r="218" spans="3:3" ht="13.2">
      <c r="C218" s="95"/>
    </row>
    <row r="219" spans="3:3" ht="13.2">
      <c r="C219" s="95"/>
    </row>
    <row r="220" spans="3:3" ht="13.2">
      <c r="C220" s="95"/>
    </row>
    <row r="221" spans="3:3" ht="13.2">
      <c r="C221" s="95"/>
    </row>
    <row r="222" spans="3:3" ht="13.2">
      <c r="C222" s="95"/>
    </row>
    <row r="223" spans="3:3" ht="13.2">
      <c r="C223" s="95"/>
    </row>
    <row r="224" spans="3:3" ht="13.2">
      <c r="C224" s="95"/>
    </row>
    <row r="225" spans="3:3" ht="13.2">
      <c r="C225" s="95"/>
    </row>
    <row r="226" spans="3:3" ht="13.2">
      <c r="C226" s="95"/>
    </row>
    <row r="227" spans="3:3" ht="13.2">
      <c r="C227" s="95"/>
    </row>
    <row r="228" spans="3:3" ht="13.2">
      <c r="C228" s="95"/>
    </row>
    <row r="229" spans="3:3" ht="13.2">
      <c r="C229" s="95"/>
    </row>
    <row r="230" spans="3:3" ht="13.2">
      <c r="C230" s="95"/>
    </row>
    <row r="231" spans="3:3" ht="13.2">
      <c r="C231" s="95"/>
    </row>
    <row r="232" spans="3:3" ht="13.2">
      <c r="C232" s="95"/>
    </row>
    <row r="233" spans="3:3" ht="13.2">
      <c r="C233" s="95"/>
    </row>
    <row r="234" spans="3:3" ht="13.2">
      <c r="C234" s="95"/>
    </row>
    <row r="235" spans="3:3" ht="13.2">
      <c r="C235" s="95"/>
    </row>
    <row r="236" spans="3:3" ht="13.2">
      <c r="C236" s="95"/>
    </row>
    <row r="237" spans="3:3" ht="13.2">
      <c r="C237" s="95"/>
    </row>
    <row r="238" spans="3:3" ht="13.2">
      <c r="C238" s="95"/>
    </row>
    <row r="239" spans="3:3" ht="13.2">
      <c r="C239" s="95"/>
    </row>
    <row r="240" spans="3:3" ht="13.2">
      <c r="C240" s="95"/>
    </row>
    <row r="241" spans="3:3" ht="13.2">
      <c r="C241" s="95"/>
    </row>
    <row r="242" spans="3:3" ht="13.2">
      <c r="C242" s="95"/>
    </row>
    <row r="243" spans="3:3" ht="13.2">
      <c r="C243" s="95"/>
    </row>
    <row r="244" spans="3:3" ht="13.2">
      <c r="C244" s="95"/>
    </row>
    <row r="245" spans="3:3" ht="13.2">
      <c r="C245" s="95"/>
    </row>
    <row r="246" spans="3:3" ht="13.2">
      <c r="C246" s="95"/>
    </row>
    <row r="247" spans="3:3" ht="13.2">
      <c r="C247" s="95"/>
    </row>
    <row r="248" spans="3:3" ht="13.2">
      <c r="C248" s="95"/>
    </row>
    <row r="249" spans="3:3" ht="13.2">
      <c r="C249" s="95"/>
    </row>
    <row r="250" spans="3:3" ht="13.2">
      <c r="C250" s="95"/>
    </row>
    <row r="251" spans="3:3" ht="13.2">
      <c r="C251" s="95"/>
    </row>
    <row r="252" spans="3:3" ht="13.2">
      <c r="C252" s="95"/>
    </row>
    <row r="253" spans="3:3" ht="13.2">
      <c r="C253" s="95"/>
    </row>
    <row r="254" spans="3:3" ht="13.2">
      <c r="C254" s="95"/>
    </row>
    <row r="255" spans="3:3" ht="13.2">
      <c r="C255" s="95"/>
    </row>
    <row r="256" spans="3:3" ht="13.2">
      <c r="C256" s="95"/>
    </row>
    <row r="257" spans="3:3" ht="13.2">
      <c r="C257" s="95"/>
    </row>
    <row r="258" spans="3:3" ht="13.2">
      <c r="C258" s="95"/>
    </row>
    <row r="259" spans="3:3" ht="13.2">
      <c r="C259" s="95"/>
    </row>
    <row r="260" spans="3:3" ht="13.2">
      <c r="C260" s="95"/>
    </row>
    <row r="261" spans="3:3" ht="13.2">
      <c r="C261" s="95"/>
    </row>
    <row r="262" spans="3:3" ht="13.2">
      <c r="C262" s="95"/>
    </row>
    <row r="263" spans="3:3" ht="13.2">
      <c r="C263" s="95"/>
    </row>
    <row r="264" spans="3:3" ht="13.2">
      <c r="C264" s="95"/>
    </row>
    <row r="265" spans="3:3" ht="13.2">
      <c r="C265" s="95"/>
    </row>
    <row r="266" spans="3:3" ht="13.2">
      <c r="C266" s="95"/>
    </row>
    <row r="267" spans="3:3" ht="13.2">
      <c r="C267" s="95"/>
    </row>
    <row r="268" spans="3:3" ht="13.2">
      <c r="C268" s="95"/>
    </row>
    <row r="269" spans="3:3" ht="13.2">
      <c r="C269" s="95"/>
    </row>
    <row r="270" spans="3:3" ht="13.2">
      <c r="C270" s="95"/>
    </row>
    <row r="271" spans="3:3" ht="13.2">
      <c r="C271" s="95"/>
    </row>
    <row r="272" spans="3:3" ht="13.2">
      <c r="C272" s="95"/>
    </row>
    <row r="273" spans="3:3" ht="13.2">
      <c r="C273" s="95"/>
    </row>
    <row r="274" spans="3:3" ht="13.2">
      <c r="C274" s="95"/>
    </row>
    <row r="275" spans="3:3" ht="13.2">
      <c r="C275" s="95"/>
    </row>
    <row r="276" spans="3:3" ht="13.2">
      <c r="C276" s="95"/>
    </row>
    <row r="277" spans="3:3" ht="13.2">
      <c r="C277" s="95"/>
    </row>
    <row r="278" spans="3:3" ht="13.2">
      <c r="C278" s="95"/>
    </row>
    <row r="279" spans="3:3" ht="13.2">
      <c r="C279" s="95"/>
    </row>
    <row r="280" spans="3:3" ht="13.2">
      <c r="C280" s="95"/>
    </row>
    <row r="281" spans="3:3" ht="13.2">
      <c r="C281" s="95"/>
    </row>
    <row r="282" spans="3:3" ht="13.2">
      <c r="C282" s="95"/>
    </row>
    <row r="283" spans="3:3" ht="13.2">
      <c r="C283" s="95"/>
    </row>
    <row r="284" spans="3:3" ht="13.2">
      <c r="C284" s="95"/>
    </row>
    <row r="285" spans="3:3" ht="13.2">
      <c r="C285" s="95"/>
    </row>
    <row r="286" spans="3:3" ht="13.2">
      <c r="C286" s="95"/>
    </row>
    <row r="287" spans="3:3" ht="13.2">
      <c r="C287" s="95"/>
    </row>
    <row r="288" spans="3:3" ht="13.2">
      <c r="C288" s="95"/>
    </row>
    <row r="289" spans="3:3" ht="13.2">
      <c r="C289" s="95"/>
    </row>
    <row r="290" spans="3:3" ht="13.2">
      <c r="C290" s="95"/>
    </row>
    <row r="291" spans="3:3" ht="13.2">
      <c r="C291" s="95"/>
    </row>
    <row r="292" spans="3:3" ht="13.2">
      <c r="C292" s="95"/>
    </row>
    <row r="293" spans="3:3" ht="13.2">
      <c r="C293" s="95"/>
    </row>
    <row r="294" spans="3:3" ht="13.2">
      <c r="C294" s="95"/>
    </row>
    <row r="295" spans="3:3" ht="13.2">
      <c r="C295" s="95"/>
    </row>
    <row r="296" spans="3:3" ht="13.2">
      <c r="C296" s="95"/>
    </row>
    <row r="297" spans="3:3" ht="13.2">
      <c r="C297" s="95"/>
    </row>
    <row r="298" spans="3:3" ht="13.2">
      <c r="C298" s="95"/>
    </row>
    <row r="299" spans="3:3" ht="13.2">
      <c r="C299" s="95"/>
    </row>
    <row r="300" spans="3:3" ht="13.2">
      <c r="C300" s="95"/>
    </row>
    <row r="301" spans="3:3" ht="13.2">
      <c r="C301" s="95"/>
    </row>
    <row r="302" spans="3:3" ht="13.2">
      <c r="C302" s="95"/>
    </row>
    <row r="303" spans="3:3" ht="13.2">
      <c r="C303" s="95"/>
    </row>
    <row r="304" spans="3:3" ht="13.2">
      <c r="C304" s="95"/>
    </row>
    <row r="305" spans="3:3" ht="13.2">
      <c r="C305" s="95"/>
    </row>
    <row r="306" spans="3:3" ht="13.2">
      <c r="C306" s="95"/>
    </row>
    <row r="307" spans="3:3" ht="13.2">
      <c r="C307" s="95"/>
    </row>
    <row r="308" spans="3:3" ht="13.2">
      <c r="C308" s="95"/>
    </row>
    <row r="309" spans="3:3" ht="13.2">
      <c r="C309" s="95"/>
    </row>
    <row r="310" spans="3:3" ht="13.2">
      <c r="C310" s="95"/>
    </row>
    <row r="311" spans="3:3" ht="13.2">
      <c r="C311" s="95"/>
    </row>
    <row r="312" spans="3:3" ht="13.2">
      <c r="C312" s="95"/>
    </row>
    <row r="313" spans="3:3" ht="13.2">
      <c r="C313" s="95"/>
    </row>
    <row r="314" spans="3:3" ht="13.2">
      <c r="C314" s="95"/>
    </row>
    <row r="315" spans="3:3" ht="13.2">
      <c r="C315" s="95"/>
    </row>
    <row r="316" spans="3:3" ht="13.2">
      <c r="C316" s="95"/>
    </row>
    <row r="317" spans="3:3" ht="13.2">
      <c r="C317" s="95"/>
    </row>
    <row r="318" spans="3:3" ht="13.2">
      <c r="C318" s="95"/>
    </row>
    <row r="319" spans="3:3" ht="13.2">
      <c r="C319" s="95"/>
    </row>
    <row r="320" spans="3:3" ht="13.2">
      <c r="C320" s="95"/>
    </row>
    <row r="321" spans="3:3" ht="13.2">
      <c r="C321" s="95"/>
    </row>
    <row r="322" spans="3:3" ht="13.2">
      <c r="C322" s="95"/>
    </row>
    <row r="323" spans="3:3" ht="13.2">
      <c r="C323" s="95"/>
    </row>
    <row r="324" spans="3:3" ht="13.2">
      <c r="C324" s="95"/>
    </row>
    <row r="325" spans="3:3" ht="13.2">
      <c r="C325" s="95"/>
    </row>
    <row r="326" spans="3:3" ht="13.2">
      <c r="C326" s="95"/>
    </row>
    <row r="327" spans="3:3" ht="13.2">
      <c r="C327" s="95"/>
    </row>
    <row r="328" spans="3:3" ht="13.2">
      <c r="C328" s="95"/>
    </row>
    <row r="329" spans="3:3" ht="13.2">
      <c r="C329" s="95"/>
    </row>
    <row r="330" spans="3:3" ht="13.2">
      <c r="C330" s="95"/>
    </row>
    <row r="331" spans="3:3" ht="13.2">
      <c r="C331" s="95"/>
    </row>
    <row r="332" spans="3:3" ht="13.2">
      <c r="C332" s="95"/>
    </row>
    <row r="333" spans="3:3" ht="13.2">
      <c r="C333" s="95"/>
    </row>
    <row r="334" spans="3:3" ht="13.2">
      <c r="C334" s="95"/>
    </row>
    <row r="335" spans="3:3" ht="13.2">
      <c r="C335" s="95"/>
    </row>
    <row r="336" spans="3:3" ht="13.2">
      <c r="C336" s="95"/>
    </row>
    <row r="337" spans="3:3" ht="13.2">
      <c r="C337" s="95"/>
    </row>
    <row r="338" spans="3:3" ht="13.2">
      <c r="C338" s="95"/>
    </row>
    <row r="339" spans="3:3" ht="13.2">
      <c r="C339" s="95"/>
    </row>
    <row r="340" spans="3:3" ht="13.2">
      <c r="C340" s="95"/>
    </row>
    <row r="341" spans="3:3" ht="13.2">
      <c r="C341" s="95"/>
    </row>
    <row r="342" spans="3:3" ht="13.2">
      <c r="C342" s="95"/>
    </row>
    <row r="343" spans="3:3" ht="13.2">
      <c r="C343" s="95"/>
    </row>
    <row r="344" spans="3:3" ht="13.2">
      <c r="C344" s="95"/>
    </row>
    <row r="345" spans="3:3" ht="13.2">
      <c r="C345" s="95"/>
    </row>
    <row r="346" spans="3:3" ht="13.2">
      <c r="C346" s="95"/>
    </row>
    <row r="347" spans="3:3" ht="13.2">
      <c r="C347" s="95"/>
    </row>
    <row r="348" spans="3:3" ht="13.2">
      <c r="C348" s="95"/>
    </row>
    <row r="349" spans="3:3" ht="13.2">
      <c r="C349" s="95"/>
    </row>
    <row r="350" spans="3:3" ht="13.2">
      <c r="C350" s="95"/>
    </row>
    <row r="351" spans="3:3" ht="13.2">
      <c r="C351" s="95"/>
    </row>
    <row r="352" spans="3:3" ht="13.2">
      <c r="C352" s="95"/>
    </row>
    <row r="353" spans="3:3" ht="13.2">
      <c r="C353" s="95"/>
    </row>
    <row r="354" spans="3:3" ht="13.2">
      <c r="C354" s="95"/>
    </row>
    <row r="355" spans="3:3" ht="13.2">
      <c r="C355" s="95"/>
    </row>
    <row r="356" spans="3:3" ht="13.2">
      <c r="C356" s="95"/>
    </row>
    <row r="357" spans="3:3" ht="13.2">
      <c r="C357" s="95"/>
    </row>
    <row r="358" spans="3:3" ht="13.2">
      <c r="C358" s="95"/>
    </row>
    <row r="359" spans="3:3" ht="13.2">
      <c r="C359" s="95"/>
    </row>
    <row r="360" spans="3:3" ht="13.2">
      <c r="C360" s="95"/>
    </row>
    <row r="361" spans="3:3" ht="13.2">
      <c r="C361" s="95"/>
    </row>
    <row r="362" spans="3:3" ht="13.2">
      <c r="C362" s="95"/>
    </row>
    <row r="363" spans="3:3" ht="13.2">
      <c r="C363" s="95"/>
    </row>
    <row r="364" spans="3:3" ht="13.2">
      <c r="C364" s="95"/>
    </row>
    <row r="365" spans="3:3" ht="13.2">
      <c r="C365" s="95"/>
    </row>
    <row r="366" spans="3:3" ht="13.2">
      <c r="C366" s="95"/>
    </row>
    <row r="367" spans="3:3" ht="13.2">
      <c r="C367" s="95"/>
    </row>
    <row r="368" spans="3:3" ht="13.2">
      <c r="C368" s="95"/>
    </row>
    <row r="369" spans="3:3" ht="13.2">
      <c r="C369" s="95"/>
    </row>
    <row r="370" spans="3:3" ht="13.2">
      <c r="C370" s="95"/>
    </row>
    <row r="371" spans="3:3" ht="13.2">
      <c r="C371" s="95"/>
    </row>
    <row r="372" spans="3:3" ht="13.2">
      <c r="C372" s="95"/>
    </row>
    <row r="373" spans="3:3" ht="13.2">
      <c r="C373" s="95"/>
    </row>
    <row r="374" spans="3:3" ht="13.2">
      <c r="C374" s="95"/>
    </row>
    <row r="375" spans="3:3" ht="13.2">
      <c r="C375" s="95"/>
    </row>
    <row r="376" spans="3:3" ht="13.2">
      <c r="C376" s="95"/>
    </row>
    <row r="377" spans="3:3" ht="13.2">
      <c r="C377" s="95"/>
    </row>
    <row r="378" spans="3:3" ht="13.2">
      <c r="C378" s="95"/>
    </row>
    <row r="379" spans="3:3" ht="13.2">
      <c r="C379" s="95"/>
    </row>
    <row r="380" spans="3:3" ht="13.2">
      <c r="C380" s="95"/>
    </row>
    <row r="381" spans="3:3" ht="13.2">
      <c r="C381" s="95"/>
    </row>
    <row r="382" spans="3:3" ht="13.2">
      <c r="C382" s="95"/>
    </row>
    <row r="383" spans="3:3" ht="13.2">
      <c r="C383" s="95"/>
    </row>
    <row r="384" spans="3:3" ht="13.2">
      <c r="C384" s="95"/>
    </row>
    <row r="385" spans="3:3" ht="13.2">
      <c r="C385" s="95"/>
    </row>
    <row r="386" spans="3:3" ht="13.2">
      <c r="C386" s="95"/>
    </row>
    <row r="387" spans="3:3" ht="13.2">
      <c r="C387" s="95"/>
    </row>
    <row r="388" spans="3:3" ht="13.2">
      <c r="C388" s="95"/>
    </row>
    <row r="389" spans="3:3" ht="13.2">
      <c r="C389" s="95"/>
    </row>
    <row r="390" spans="3:3" ht="13.2">
      <c r="C390" s="95"/>
    </row>
    <row r="391" spans="3:3" ht="13.2">
      <c r="C391" s="95"/>
    </row>
    <row r="392" spans="3:3" ht="13.2">
      <c r="C392" s="95"/>
    </row>
    <row r="393" spans="3:3" ht="13.2">
      <c r="C393" s="95"/>
    </row>
    <row r="394" spans="3:3" ht="13.2">
      <c r="C394" s="95"/>
    </row>
    <row r="395" spans="3:3" ht="13.2">
      <c r="C395" s="95"/>
    </row>
    <row r="396" spans="3:3" ht="13.2">
      <c r="C396" s="95"/>
    </row>
    <row r="397" spans="3:3" ht="13.2">
      <c r="C397" s="95"/>
    </row>
    <row r="398" spans="3:3" ht="13.2">
      <c r="C398" s="95"/>
    </row>
    <row r="399" spans="3:3" ht="13.2">
      <c r="C399" s="95"/>
    </row>
    <row r="400" spans="3:3" ht="13.2">
      <c r="C400" s="95"/>
    </row>
    <row r="401" spans="3:3" ht="13.2">
      <c r="C401" s="95"/>
    </row>
    <row r="402" spans="3:3" ht="13.2">
      <c r="C402" s="95"/>
    </row>
    <row r="403" spans="3:3" ht="13.2">
      <c r="C403" s="95"/>
    </row>
    <row r="404" spans="3:3" ht="13.2">
      <c r="C404" s="95"/>
    </row>
    <row r="405" spans="3:3" ht="13.2">
      <c r="C405" s="95"/>
    </row>
    <row r="406" spans="3:3" ht="13.2">
      <c r="C406" s="95"/>
    </row>
    <row r="407" spans="3:3" ht="13.2">
      <c r="C407" s="95"/>
    </row>
    <row r="408" spans="3:3" ht="13.2">
      <c r="C408" s="95"/>
    </row>
    <row r="409" spans="3:3" ht="13.2">
      <c r="C409" s="95"/>
    </row>
    <row r="410" spans="3:3" ht="13.2">
      <c r="C410" s="95"/>
    </row>
    <row r="411" spans="3:3" ht="13.2">
      <c r="C411" s="95"/>
    </row>
    <row r="412" spans="3:3" ht="13.2">
      <c r="C412" s="95"/>
    </row>
    <row r="413" spans="3:3" ht="13.2">
      <c r="C413" s="95"/>
    </row>
    <row r="414" spans="3:3" ht="13.2">
      <c r="C414" s="95"/>
    </row>
    <row r="415" spans="3:3" ht="13.2">
      <c r="C415" s="95"/>
    </row>
    <row r="416" spans="3:3" ht="13.2">
      <c r="C416" s="95"/>
    </row>
    <row r="417" spans="3:3" ht="13.2">
      <c r="C417" s="95"/>
    </row>
    <row r="418" spans="3:3" ht="13.2">
      <c r="C418" s="95"/>
    </row>
    <row r="419" spans="3:3" ht="13.2">
      <c r="C419" s="95"/>
    </row>
    <row r="420" spans="3:3" ht="13.2">
      <c r="C420" s="95"/>
    </row>
    <row r="421" spans="3:3" ht="13.2">
      <c r="C421" s="95"/>
    </row>
    <row r="422" spans="3:3" ht="13.2">
      <c r="C422" s="95"/>
    </row>
    <row r="423" spans="3:3" ht="13.2">
      <c r="C423" s="95"/>
    </row>
    <row r="424" spans="3:3" ht="13.2">
      <c r="C424" s="95"/>
    </row>
    <row r="425" spans="3:3" ht="13.2">
      <c r="C425" s="95"/>
    </row>
    <row r="426" spans="3:3" ht="13.2">
      <c r="C426" s="95"/>
    </row>
    <row r="427" spans="3:3" ht="13.2">
      <c r="C427" s="95"/>
    </row>
    <row r="428" spans="3:3" ht="13.2">
      <c r="C428" s="95"/>
    </row>
    <row r="429" spans="3:3" ht="13.2">
      <c r="C429" s="95"/>
    </row>
    <row r="430" spans="3:3" ht="13.2">
      <c r="C430" s="95"/>
    </row>
    <row r="431" spans="3:3" ht="13.2">
      <c r="C431" s="95"/>
    </row>
    <row r="432" spans="3:3" ht="13.2">
      <c r="C432" s="95"/>
    </row>
    <row r="433" spans="3:3" ht="13.2">
      <c r="C433" s="95"/>
    </row>
    <row r="434" spans="3:3" ht="13.2">
      <c r="C434" s="95"/>
    </row>
    <row r="435" spans="3:3" ht="13.2">
      <c r="C435" s="95"/>
    </row>
    <row r="436" spans="3:3" ht="13.2">
      <c r="C436" s="95"/>
    </row>
    <row r="437" spans="3:3" ht="13.2">
      <c r="C437" s="95"/>
    </row>
    <row r="438" spans="3:3" ht="13.2">
      <c r="C438" s="95"/>
    </row>
    <row r="439" spans="3:3" ht="13.2">
      <c r="C439" s="95"/>
    </row>
    <row r="440" spans="3:3" ht="13.2">
      <c r="C440" s="95"/>
    </row>
    <row r="441" spans="3:3" ht="13.2">
      <c r="C441" s="95"/>
    </row>
    <row r="442" spans="3:3" ht="13.2">
      <c r="C442" s="95"/>
    </row>
    <row r="443" spans="3:3" ht="13.2">
      <c r="C443" s="95"/>
    </row>
    <row r="444" spans="3:3" ht="13.2">
      <c r="C444" s="95"/>
    </row>
    <row r="445" spans="3:3" ht="13.2">
      <c r="C445" s="95"/>
    </row>
    <row r="446" spans="3:3" ht="13.2">
      <c r="C446" s="95"/>
    </row>
    <row r="447" spans="3:3" ht="13.2">
      <c r="C447" s="95"/>
    </row>
    <row r="448" spans="3:3" ht="13.2">
      <c r="C448" s="95"/>
    </row>
    <row r="449" spans="3:3" ht="13.2">
      <c r="C449" s="95"/>
    </row>
    <row r="450" spans="3:3" ht="13.2">
      <c r="C450" s="95"/>
    </row>
    <row r="451" spans="3:3" ht="13.2">
      <c r="C451" s="95"/>
    </row>
    <row r="452" spans="3:3" ht="13.2">
      <c r="C452" s="95"/>
    </row>
    <row r="453" spans="3:3" ht="13.2">
      <c r="C453" s="95"/>
    </row>
    <row r="454" spans="3:3" ht="13.2">
      <c r="C454" s="95"/>
    </row>
    <row r="455" spans="3:3" ht="13.2">
      <c r="C455" s="95"/>
    </row>
    <row r="456" spans="3:3" ht="13.2">
      <c r="C456" s="95"/>
    </row>
    <row r="457" spans="3:3" ht="13.2">
      <c r="C457" s="95"/>
    </row>
    <row r="458" spans="3:3" ht="13.2">
      <c r="C458" s="95"/>
    </row>
    <row r="459" spans="3:3" ht="13.2">
      <c r="C459" s="95"/>
    </row>
    <row r="460" spans="3:3" ht="13.2">
      <c r="C460" s="95"/>
    </row>
    <row r="461" spans="3:3" ht="13.2">
      <c r="C461" s="95"/>
    </row>
    <row r="462" spans="3:3" ht="13.2">
      <c r="C462" s="95"/>
    </row>
    <row r="463" spans="3:3" ht="13.2">
      <c r="C463" s="95"/>
    </row>
    <row r="464" spans="3:3" ht="13.2">
      <c r="C464" s="95"/>
    </row>
    <row r="465" spans="3:3" ht="13.2">
      <c r="C465" s="95"/>
    </row>
    <row r="466" spans="3:3" ht="13.2">
      <c r="C466" s="95"/>
    </row>
    <row r="467" spans="3:3" ht="13.2">
      <c r="C467" s="95"/>
    </row>
    <row r="468" spans="3:3" ht="13.2">
      <c r="C468" s="95"/>
    </row>
    <row r="469" spans="3:3" ht="13.2">
      <c r="C469" s="95"/>
    </row>
    <row r="470" spans="3:3" ht="13.2">
      <c r="C470" s="95"/>
    </row>
    <row r="471" spans="3:3" ht="13.2">
      <c r="C471" s="95"/>
    </row>
    <row r="472" spans="3:3" ht="13.2">
      <c r="C472" s="95"/>
    </row>
    <row r="473" spans="3:3" ht="13.2">
      <c r="C473" s="95"/>
    </row>
    <row r="474" spans="3:3" ht="13.2">
      <c r="C474" s="95"/>
    </row>
    <row r="475" spans="3:3" ht="13.2">
      <c r="C475" s="95"/>
    </row>
    <row r="476" spans="3:3" ht="13.2">
      <c r="C476" s="95"/>
    </row>
    <row r="477" spans="3:3" ht="13.2">
      <c r="C477" s="95"/>
    </row>
    <row r="478" spans="3:3" ht="13.2">
      <c r="C478" s="95"/>
    </row>
    <row r="479" spans="3:3" ht="13.2">
      <c r="C479" s="95"/>
    </row>
    <row r="480" spans="3:3" ht="13.2">
      <c r="C480" s="95"/>
    </row>
    <row r="481" spans="3:3" ht="13.2">
      <c r="C481" s="95"/>
    </row>
    <row r="482" spans="3:3" ht="13.2">
      <c r="C482" s="95"/>
    </row>
    <row r="483" spans="3:3" ht="13.2">
      <c r="C483" s="95"/>
    </row>
    <row r="484" spans="3:3" ht="13.2">
      <c r="C484" s="95"/>
    </row>
    <row r="485" spans="3:3" ht="13.2">
      <c r="C485" s="95"/>
    </row>
    <row r="486" spans="3:3" ht="13.2">
      <c r="C486" s="95"/>
    </row>
    <row r="487" spans="3:3" ht="13.2">
      <c r="C487" s="95"/>
    </row>
    <row r="488" spans="3:3" ht="13.2">
      <c r="C488" s="95"/>
    </row>
    <row r="489" spans="3:3" ht="13.2">
      <c r="C489" s="95"/>
    </row>
    <row r="490" spans="3:3" ht="13.2">
      <c r="C490" s="95"/>
    </row>
    <row r="491" spans="3:3" ht="13.2">
      <c r="C491" s="95"/>
    </row>
    <row r="492" spans="3:3" ht="13.2">
      <c r="C492" s="95"/>
    </row>
    <row r="493" spans="3:3" ht="13.2">
      <c r="C493" s="95"/>
    </row>
    <row r="494" spans="3:3" ht="13.2">
      <c r="C494" s="95"/>
    </row>
    <row r="495" spans="3:3" ht="13.2">
      <c r="C495" s="95"/>
    </row>
    <row r="496" spans="3:3" ht="13.2">
      <c r="C496" s="95"/>
    </row>
    <row r="497" spans="3:3" ht="13.2">
      <c r="C497" s="95"/>
    </row>
    <row r="498" spans="3:3" ht="13.2">
      <c r="C498" s="95"/>
    </row>
    <row r="499" spans="3:3" ht="13.2">
      <c r="C499" s="95"/>
    </row>
    <row r="500" spans="3:3" ht="13.2">
      <c r="C500" s="95"/>
    </row>
    <row r="501" spans="3:3" ht="13.2">
      <c r="C501" s="95"/>
    </row>
    <row r="502" spans="3:3" ht="13.2">
      <c r="C502" s="95"/>
    </row>
    <row r="503" spans="3:3" ht="13.2">
      <c r="C503" s="95"/>
    </row>
    <row r="504" spans="3:3" ht="13.2">
      <c r="C504" s="95"/>
    </row>
    <row r="505" spans="3:3" ht="13.2">
      <c r="C505" s="95"/>
    </row>
    <row r="506" spans="3:3" ht="13.2">
      <c r="C506" s="95"/>
    </row>
    <row r="507" spans="3:3" ht="13.2">
      <c r="C507" s="95"/>
    </row>
    <row r="508" spans="3:3" ht="13.2">
      <c r="C508" s="95"/>
    </row>
    <row r="509" spans="3:3" ht="13.2">
      <c r="C509" s="95"/>
    </row>
    <row r="510" spans="3:3" ht="13.2">
      <c r="C510" s="95"/>
    </row>
    <row r="511" spans="3:3" ht="13.2">
      <c r="C511" s="95"/>
    </row>
    <row r="512" spans="3:3" ht="13.2">
      <c r="C512" s="95"/>
    </row>
    <row r="513" spans="3:3" ht="13.2">
      <c r="C513" s="95"/>
    </row>
    <row r="514" spans="3:3" ht="13.2">
      <c r="C514" s="95"/>
    </row>
    <row r="515" spans="3:3" ht="13.2">
      <c r="C515" s="95"/>
    </row>
    <row r="516" spans="3:3" ht="13.2">
      <c r="C516" s="95"/>
    </row>
    <row r="517" spans="3:3" ht="13.2">
      <c r="C517" s="95"/>
    </row>
    <row r="518" spans="3:3" ht="13.2">
      <c r="C518" s="95"/>
    </row>
    <row r="519" spans="3:3" ht="13.2">
      <c r="C519" s="95"/>
    </row>
    <row r="520" spans="3:3" ht="13.2">
      <c r="C520" s="95"/>
    </row>
    <row r="521" spans="3:3" ht="13.2">
      <c r="C521" s="95"/>
    </row>
    <row r="522" spans="3:3" ht="13.2">
      <c r="C522" s="95"/>
    </row>
    <row r="523" spans="3:3" ht="13.2">
      <c r="C523" s="95"/>
    </row>
    <row r="524" spans="3:3" ht="13.2">
      <c r="C524" s="95"/>
    </row>
    <row r="525" spans="3:3" ht="13.2">
      <c r="C525" s="95"/>
    </row>
    <row r="526" spans="3:3" ht="13.2">
      <c r="C526" s="95"/>
    </row>
    <row r="527" spans="3:3" ht="13.2">
      <c r="C527" s="95"/>
    </row>
    <row r="528" spans="3:3" ht="13.2">
      <c r="C528" s="95"/>
    </row>
    <row r="529" spans="3:3" ht="13.2">
      <c r="C529" s="95"/>
    </row>
    <row r="530" spans="3:3" ht="13.2">
      <c r="C530" s="95"/>
    </row>
    <row r="531" spans="3:3" ht="13.2">
      <c r="C531" s="95"/>
    </row>
    <row r="532" spans="3:3" ht="13.2">
      <c r="C532" s="95"/>
    </row>
    <row r="533" spans="3:3" ht="13.2">
      <c r="C533" s="95"/>
    </row>
    <row r="534" spans="3:3" ht="13.2">
      <c r="C534" s="95"/>
    </row>
    <row r="535" spans="3:3" ht="13.2">
      <c r="C535" s="95"/>
    </row>
    <row r="536" spans="3:3" ht="13.2">
      <c r="C536" s="95"/>
    </row>
    <row r="537" spans="3:3" ht="13.2">
      <c r="C537" s="95"/>
    </row>
    <row r="538" spans="3:3" ht="13.2">
      <c r="C538" s="95"/>
    </row>
    <row r="539" spans="3:3" ht="13.2">
      <c r="C539" s="95"/>
    </row>
    <row r="540" spans="3:3" ht="13.2">
      <c r="C540" s="95"/>
    </row>
    <row r="541" spans="3:3" ht="13.2">
      <c r="C541" s="95"/>
    </row>
    <row r="542" spans="3:3" ht="13.2">
      <c r="C542" s="95"/>
    </row>
    <row r="543" spans="3:3" ht="13.2">
      <c r="C543" s="95"/>
    </row>
    <row r="544" spans="3:3" ht="13.2">
      <c r="C544" s="95"/>
    </row>
    <row r="545" spans="3:3" ht="13.2">
      <c r="C545" s="95"/>
    </row>
    <row r="546" spans="3:3" ht="13.2">
      <c r="C546" s="95"/>
    </row>
    <row r="547" spans="3:3" ht="13.2">
      <c r="C547" s="95"/>
    </row>
    <row r="548" spans="3:3" ht="13.2">
      <c r="C548" s="95"/>
    </row>
    <row r="549" spans="3:3" ht="13.2">
      <c r="C549" s="95"/>
    </row>
    <row r="550" spans="3:3" ht="13.2">
      <c r="C550" s="95"/>
    </row>
    <row r="551" spans="3:3" ht="13.2">
      <c r="C551" s="95"/>
    </row>
    <row r="552" spans="3:3" ht="13.2">
      <c r="C552" s="95"/>
    </row>
    <row r="553" spans="3:3" ht="13.2">
      <c r="C553" s="95"/>
    </row>
    <row r="554" spans="3:3" ht="13.2">
      <c r="C554" s="95"/>
    </row>
    <row r="555" spans="3:3" ht="13.2">
      <c r="C555" s="95"/>
    </row>
    <row r="556" spans="3:3" ht="13.2">
      <c r="C556" s="95"/>
    </row>
    <row r="557" spans="3:3" ht="13.2">
      <c r="C557" s="95"/>
    </row>
    <row r="558" spans="3:3" ht="13.2">
      <c r="C558" s="95"/>
    </row>
    <row r="559" spans="3:3" ht="13.2">
      <c r="C559" s="95"/>
    </row>
    <row r="560" spans="3:3" ht="13.2">
      <c r="C560" s="95"/>
    </row>
    <row r="561" spans="3:3" ht="13.2">
      <c r="C561" s="95"/>
    </row>
    <row r="562" spans="3:3" ht="13.2">
      <c r="C562" s="95"/>
    </row>
    <row r="563" spans="3:3" ht="13.2">
      <c r="C563" s="95"/>
    </row>
    <row r="564" spans="3:3" ht="13.2">
      <c r="C564" s="95"/>
    </row>
    <row r="565" spans="3:3" ht="13.2">
      <c r="C565" s="95"/>
    </row>
    <row r="566" spans="3:3" ht="13.2">
      <c r="C566" s="95"/>
    </row>
    <row r="567" spans="3:3" ht="13.2">
      <c r="C567" s="95"/>
    </row>
    <row r="568" spans="3:3" ht="13.2">
      <c r="C568" s="95"/>
    </row>
    <row r="569" spans="3:3" ht="13.2">
      <c r="C569" s="95"/>
    </row>
    <row r="570" spans="3:3" ht="13.2">
      <c r="C570" s="95"/>
    </row>
    <row r="571" spans="3:3" ht="13.2">
      <c r="C571" s="95"/>
    </row>
    <row r="572" spans="3:3" ht="13.2">
      <c r="C572" s="95"/>
    </row>
    <row r="573" spans="3:3" ht="13.2">
      <c r="C573" s="95"/>
    </row>
    <row r="574" spans="3:3" ht="13.2">
      <c r="C574" s="95"/>
    </row>
    <row r="575" spans="3:3" ht="13.2">
      <c r="C575" s="95"/>
    </row>
    <row r="576" spans="3:3" ht="13.2">
      <c r="C576" s="95"/>
    </row>
    <row r="577" spans="3:3" ht="13.2">
      <c r="C577" s="95"/>
    </row>
    <row r="578" spans="3:3" ht="13.2">
      <c r="C578" s="95"/>
    </row>
    <row r="579" spans="3:3" ht="13.2">
      <c r="C579" s="95"/>
    </row>
    <row r="580" spans="3:3" ht="13.2">
      <c r="C580" s="95"/>
    </row>
    <row r="581" spans="3:3" ht="13.2">
      <c r="C581" s="95"/>
    </row>
    <row r="582" spans="3:3" ht="13.2">
      <c r="C582" s="95"/>
    </row>
    <row r="583" spans="3:3" ht="13.2">
      <c r="C583" s="95"/>
    </row>
    <row r="584" spans="3:3" ht="13.2">
      <c r="C584" s="95"/>
    </row>
    <row r="585" spans="3:3" ht="13.2">
      <c r="C585" s="95"/>
    </row>
    <row r="586" spans="3:3" ht="13.2">
      <c r="C586" s="95"/>
    </row>
    <row r="587" spans="3:3" ht="13.2">
      <c r="C587" s="95"/>
    </row>
    <row r="588" spans="3:3" ht="13.2">
      <c r="C588" s="95"/>
    </row>
    <row r="589" spans="3:3" ht="13.2">
      <c r="C589" s="95"/>
    </row>
    <row r="590" spans="3:3" ht="13.2">
      <c r="C590" s="95"/>
    </row>
    <row r="591" spans="3:3" ht="13.2">
      <c r="C591" s="95"/>
    </row>
    <row r="592" spans="3:3" ht="13.2">
      <c r="C592" s="95"/>
    </row>
    <row r="593" spans="3:3" ht="13.2">
      <c r="C593" s="95"/>
    </row>
    <row r="594" spans="3:3" ht="13.2">
      <c r="C594" s="95"/>
    </row>
    <row r="595" spans="3:3" ht="13.2">
      <c r="C595" s="95"/>
    </row>
    <row r="596" spans="3:3" ht="13.2">
      <c r="C596" s="95"/>
    </row>
    <row r="597" spans="3:3" ht="13.2">
      <c r="C597" s="95"/>
    </row>
    <row r="598" spans="3:3" ht="13.2">
      <c r="C598" s="95"/>
    </row>
    <row r="599" spans="3:3" ht="13.2">
      <c r="C599" s="95"/>
    </row>
    <row r="600" spans="3:3" ht="13.2">
      <c r="C600" s="95"/>
    </row>
    <row r="601" spans="3:3" ht="13.2">
      <c r="C601" s="95"/>
    </row>
    <row r="602" spans="3:3" ht="13.2">
      <c r="C602" s="95"/>
    </row>
    <row r="603" spans="3:3" ht="13.2">
      <c r="C603" s="95"/>
    </row>
    <row r="604" spans="3:3" ht="13.2">
      <c r="C604" s="95"/>
    </row>
    <row r="605" spans="3:3" ht="13.2">
      <c r="C605" s="95"/>
    </row>
    <row r="606" spans="3:3" ht="13.2">
      <c r="C606" s="95"/>
    </row>
    <row r="607" spans="3:3" ht="13.2">
      <c r="C607" s="95"/>
    </row>
    <row r="608" spans="3:3" ht="13.2">
      <c r="C608" s="95"/>
    </row>
    <row r="609" spans="3:3" ht="13.2">
      <c r="C609" s="95"/>
    </row>
    <row r="610" spans="3:3" ht="13.2">
      <c r="C610" s="95"/>
    </row>
    <row r="611" spans="3:3" ht="13.2">
      <c r="C611" s="95"/>
    </row>
    <row r="612" spans="3:3" ht="13.2">
      <c r="C612" s="95"/>
    </row>
    <row r="613" spans="3:3" ht="13.2">
      <c r="C613" s="95"/>
    </row>
    <row r="614" spans="3:3" ht="13.2">
      <c r="C614" s="95"/>
    </row>
    <row r="615" spans="3:3" ht="13.2">
      <c r="C615" s="95"/>
    </row>
    <row r="616" spans="3:3" ht="13.2">
      <c r="C616" s="95"/>
    </row>
    <row r="617" spans="3:3" ht="13.2">
      <c r="C617" s="95"/>
    </row>
    <row r="618" spans="3:3" ht="13.2">
      <c r="C618" s="95"/>
    </row>
    <row r="619" spans="3:3" ht="13.2">
      <c r="C619" s="95"/>
    </row>
    <row r="620" spans="3:3" ht="13.2">
      <c r="C620" s="95"/>
    </row>
    <row r="621" spans="3:3" ht="13.2">
      <c r="C621" s="95"/>
    </row>
    <row r="622" spans="3:3" ht="13.2">
      <c r="C622" s="95"/>
    </row>
    <row r="623" spans="3:3" ht="13.2">
      <c r="C623" s="95"/>
    </row>
    <row r="624" spans="3:3" ht="13.2">
      <c r="C624" s="95"/>
    </row>
    <row r="625" spans="3:3" ht="13.2">
      <c r="C625" s="95"/>
    </row>
    <row r="626" spans="3:3" ht="13.2">
      <c r="C626" s="95"/>
    </row>
    <row r="627" spans="3:3" ht="13.2">
      <c r="C627" s="95"/>
    </row>
    <row r="628" spans="3:3" ht="13.2">
      <c r="C628" s="95"/>
    </row>
    <row r="629" spans="3:3" ht="13.2">
      <c r="C629" s="95"/>
    </row>
    <row r="630" spans="3:3" ht="13.2">
      <c r="C630" s="95"/>
    </row>
    <row r="631" spans="3:3" ht="13.2">
      <c r="C631" s="95"/>
    </row>
    <row r="632" spans="3:3" ht="13.2">
      <c r="C632" s="95"/>
    </row>
    <row r="633" spans="3:3" ht="13.2">
      <c r="C633" s="95"/>
    </row>
    <row r="634" spans="3:3" ht="13.2">
      <c r="C634" s="95"/>
    </row>
    <row r="635" spans="3:3" ht="13.2">
      <c r="C635" s="95"/>
    </row>
    <row r="636" spans="3:3" ht="13.2">
      <c r="C636" s="95"/>
    </row>
    <row r="637" spans="3:3" ht="13.2">
      <c r="C637" s="95"/>
    </row>
    <row r="638" spans="3:3" ht="13.2">
      <c r="C638" s="95"/>
    </row>
    <row r="639" spans="3:3" ht="13.2">
      <c r="C639" s="95"/>
    </row>
    <row r="640" spans="3:3" ht="13.2">
      <c r="C640" s="95"/>
    </row>
    <row r="641" spans="3:3" ht="13.2">
      <c r="C641" s="95"/>
    </row>
    <row r="642" spans="3:3" ht="13.2">
      <c r="C642" s="95"/>
    </row>
    <row r="643" spans="3:3" ht="13.2">
      <c r="C643" s="95"/>
    </row>
    <row r="644" spans="3:3" ht="13.2">
      <c r="C644" s="95"/>
    </row>
    <row r="645" spans="3:3" ht="13.2">
      <c r="C645" s="95"/>
    </row>
    <row r="646" spans="3:3" ht="13.2">
      <c r="C646" s="95"/>
    </row>
    <row r="647" spans="3:3" ht="13.2">
      <c r="C647" s="95"/>
    </row>
    <row r="648" spans="3:3" ht="13.2">
      <c r="C648" s="95"/>
    </row>
    <row r="649" spans="3:3" ht="13.2">
      <c r="C649" s="95"/>
    </row>
    <row r="650" spans="3:3" ht="13.2">
      <c r="C650" s="95"/>
    </row>
    <row r="651" spans="3:3" ht="13.2">
      <c r="C651" s="95"/>
    </row>
    <row r="652" spans="3:3" ht="13.2">
      <c r="C652" s="95"/>
    </row>
    <row r="653" spans="3:3" ht="13.2">
      <c r="C653" s="95"/>
    </row>
    <row r="654" spans="3:3" ht="13.2">
      <c r="C654" s="95"/>
    </row>
    <row r="655" spans="3:3" ht="13.2">
      <c r="C655" s="95"/>
    </row>
    <row r="656" spans="3:3" ht="13.2">
      <c r="C656" s="95"/>
    </row>
    <row r="657" spans="3:3" ht="13.2">
      <c r="C657" s="95"/>
    </row>
    <row r="658" spans="3:3" ht="13.2">
      <c r="C658" s="95"/>
    </row>
    <row r="659" spans="3:3" ht="13.2">
      <c r="C659" s="95"/>
    </row>
    <row r="660" spans="3:3" ht="13.2">
      <c r="C660" s="95"/>
    </row>
    <row r="661" spans="3:3" ht="13.2">
      <c r="C661" s="95"/>
    </row>
    <row r="662" spans="3:3" ht="13.2">
      <c r="C662" s="95"/>
    </row>
    <row r="663" spans="3:3" ht="13.2">
      <c r="C663" s="95"/>
    </row>
    <row r="664" spans="3:3" ht="13.2">
      <c r="C664" s="95"/>
    </row>
    <row r="665" spans="3:3" ht="13.2">
      <c r="C665" s="95"/>
    </row>
    <row r="666" spans="3:3" ht="13.2">
      <c r="C666" s="95"/>
    </row>
    <row r="667" spans="3:3" ht="13.2">
      <c r="C667" s="95"/>
    </row>
    <row r="668" spans="3:3" ht="13.2">
      <c r="C668" s="95"/>
    </row>
    <row r="669" spans="3:3" ht="13.2">
      <c r="C669" s="95"/>
    </row>
    <row r="670" spans="3:3" ht="13.2">
      <c r="C670" s="95"/>
    </row>
    <row r="671" spans="3:3" ht="13.2">
      <c r="C671" s="95"/>
    </row>
    <row r="672" spans="3:3" ht="13.2">
      <c r="C672" s="95"/>
    </row>
    <row r="673" spans="3:3" ht="13.2">
      <c r="C673" s="95"/>
    </row>
    <row r="674" spans="3:3" ht="13.2">
      <c r="C674" s="95"/>
    </row>
    <row r="675" spans="3:3" ht="13.2">
      <c r="C675" s="95"/>
    </row>
    <row r="676" spans="3:3" ht="13.2">
      <c r="C676" s="95"/>
    </row>
    <row r="677" spans="3:3" ht="13.2">
      <c r="C677" s="95"/>
    </row>
    <row r="678" spans="3:3" ht="13.2">
      <c r="C678" s="95"/>
    </row>
    <row r="679" spans="3:3" ht="13.2">
      <c r="C679" s="95"/>
    </row>
    <row r="680" spans="3:3" ht="13.2">
      <c r="C680" s="95"/>
    </row>
    <row r="681" spans="3:3" ht="13.2">
      <c r="C681" s="95"/>
    </row>
    <row r="682" spans="3:3" ht="13.2">
      <c r="C682" s="95"/>
    </row>
    <row r="683" spans="3:3" ht="13.2">
      <c r="C683" s="95"/>
    </row>
    <row r="684" spans="3:3" ht="13.2">
      <c r="C684" s="95"/>
    </row>
    <row r="685" spans="3:3" ht="13.2">
      <c r="C685" s="95"/>
    </row>
    <row r="686" spans="3:3" ht="13.2">
      <c r="C686" s="95"/>
    </row>
    <row r="687" spans="3:3" ht="13.2">
      <c r="C687" s="95"/>
    </row>
    <row r="688" spans="3:3" ht="13.2">
      <c r="C688" s="95"/>
    </row>
    <row r="689" spans="3:3" ht="13.2">
      <c r="C689" s="95"/>
    </row>
    <row r="690" spans="3:3" ht="13.2">
      <c r="C690" s="95"/>
    </row>
    <row r="691" spans="3:3" ht="13.2">
      <c r="C691" s="95"/>
    </row>
    <row r="692" spans="3:3" ht="13.2">
      <c r="C692" s="95"/>
    </row>
    <row r="693" spans="3:3" ht="13.2">
      <c r="C693" s="95"/>
    </row>
    <row r="694" spans="3:3" ht="13.2">
      <c r="C694" s="95"/>
    </row>
    <row r="695" spans="3:3" ht="13.2">
      <c r="C695" s="95"/>
    </row>
    <row r="696" spans="3:3" ht="13.2">
      <c r="C696" s="95"/>
    </row>
    <row r="697" spans="3:3" ht="13.2">
      <c r="C697" s="95"/>
    </row>
    <row r="698" spans="3:3" ht="13.2">
      <c r="C698" s="95"/>
    </row>
    <row r="699" spans="3:3" ht="13.2">
      <c r="C699" s="95"/>
    </row>
    <row r="700" spans="3:3" ht="13.2">
      <c r="C700" s="95"/>
    </row>
    <row r="701" spans="3:3" ht="13.2">
      <c r="C701" s="95"/>
    </row>
    <row r="702" spans="3:3" ht="13.2">
      <c r="C702" s="95"/>
    </row>
    <row r="703" spans="3:3" ht="13.2">
      <c r="C703" s="95"/>
    </row>
    <row r="704" spans="3:3" ht="13.2">
      <c r="C704" s="95"/>
    </row>
    <row r="705" spans="3:3" ht="13.2">
      <c r="C705" s="95"/>
    </row>
    <row r="706" spans="3:3" ht="13.2">
      <c r="C706" s="95"/>
    </row>
    <row r="707" spans="3:3" ht="13.2">
      <c r="C707" s="95"/>
    </row>
    <row r="708" spans="3:3" ht="13.2">
      <c r="C708" s="95"/>
    </row>
    <row r="709" spans="3:3" ht="13.2">
      <c r="C709" s="95"/>
    </row>
    <row r="710" spans="3:3" ht="13.2">
      <c r="C710" s="95"/>
    </row>
    <row r="711" spans="3:3" ht="13.2">
      <c r="C711" s="95"/>
    </row>
    <row r="712" spans="3:3" ht="13.2">
      <c r="C712" s="95"/>
    </row>
    <row r="713" spans="3:3" ht="13.2">
      <c r="C713" s="95"/>
    </row>
    <row r="714" spans="3:3" ht="13.2">
      <c r="C714" s="95"/>
    </row>
    <row r="715" spans="3:3" ht="13.2">
      <c r="C715" s="95"/>
    </row>
    <row r="716" spans="3:3" ht="13.2">
      <c r="C716" s="95"/>
    </row>
    <row r="717" spans="3:3" ht="13.2">
      <c r="C717" s="95"/>
    </row>
    <row r="718" spans="3:3" ht="13.2">
      <c r="C718" s="95"/>
    </row>
    <row r="719" spans="3:3" ht="13.2">
      <c r="C719" s="95"/>
    </row>
    <row r="720" spans="3:3" ht="13.2">
      <c r="C720" s="95"/>
    </row>
    <row r="721" spans="3:3" ht="13.2">
      <c r="C721" s="95"/>
    </row>
    <row r="722" spans="3:3" ht="13.2">
      <c r="C722" s="95"/>
    </row>
    <row r="723" spans="3:3" ht="13.2">
      <c r="C723" s="95"/>
    </row>
    <row r="724" spans="3:3" ht="13.2">
      <c r="C724" s="95"/>
    </row>
    <row r="725" spans="3:3" ht="13.2">
      <c r="C725" s="95"/>
    </row>
    <row r="726" spans="3:3" ht="13.2">
      <c r="C726" s="95"/>
    </row>
    <row r="727" spans="3:3" ht="13.2">
      <c r="C727" s="95"/>
    </row>
    <row r="728" spans="3:3" ht="13.2">
      <c r="C728" s="95"/>
    </row>
    <row r="729" spans="3:3" ht="13.2">
      <c r="C729" s="95"/>
    </row>
    <row r="730" spans="3:3" ht="13.2">
      <c r="C730" s="95"/>
    </row>
    <row r="731" spans="3:3" ht="13.2">
      <c r="C731" s="95"/>
    </row>
    <row r="732" spans="3:3" ht="13.2">
      <c r="C732" s="95"/>
    </row>
    <row r="733" spans="3:3" ht="13.2">
      <c r="C733" s="95"/>
    </row>
    <row r="734" spans="3:3" ht="13.2">
      <c r="C734" s="95"/>
    </row>
    <row r="735" spans="3:3" ht="13.2">
      <c r="C735" s="95"/>
    </row>
    <row r="736" spans="3:3" ht="13.2">
      <c r="C736" s="95"/>
    </row>
    <row r="737" spans="3:3" ht="13.2">
      <c r="C737" s="95"/>
    </row>
    <row r="738" spans="3:3" ht="13.2">
      <c r="C738" s="95"/>
    </row>
    <row r="739" spans="3:3" ht="13.2">
      <c r="C739" s="95"/>
    </row>
    <row r="740" spans="3:3" ht="13.2">
      <c r="C740" s="95"/>
    </row>
    <row r="741" spans="3:3" ht="13.2">
      <c r="C741" s="95"/>
    </row>
    <row r="742" spans="3:3" ht="13.2">
      <c r="C742" s="95"/>
    </row>
    <row r="743" spans="3:3" ht="13.2">
      <c r="C743" s="95"/>
    </row>
    <row r="744" spans="3:3" ht="13.2">
      <c r="C744" s="95"/>
    </row>
    <row r="745" spans="3:3" ht="13.2">
      <c r="C745" s="95"/>
    </row>
    <row r="746" spans="3:3" ht="13.2">
      <c r="C746" s="95"/>
    </row>
    <row r="747" spans="3:3" ht="13.2">
      <c r="C747" s="95"/>
    </row>
    <row r="748" spans="3:3" ht="13.2">
      <c r="C748" s="95"/>
    </row>
    <row r="749" spans="3:3" ht="13.2">
      <c r="C749" s="95"/>
    </row>
    <row r="750" spans="3:3" ht="13.2">
      <c r="C750" s="95"/>
    </row>
    <row r="751" spans="3:3" ht="13.2">
      <c r="C751" s="95"/>
    </row>
    <row r="752" spans="3:3" ht="13.2">
      <c r="C752" s="95"/>
    </row>
    <row r="753" spans="3:3" ht="13.2">
      <c r="C753" s="95"/>
    </row>
    <row r="754" spans="3:3" ht="13.2">
      <c r="C754" s="95"/>
    </row>
    <row r="755" spans="3:3" ht="13.2">
      <c r="C755" s="95"/>
    </row>
    <row r="756" spans="3:3" ht="13.2">
      <c r="C756" s="95"/>
    </row>
    <row r="757" spans="3:3" ht="13.2">
      <c r="C757" s="95"/>
    </row>
    <row r="758" spans="3:3" ht="13.2">
      <c r="C758" s="95"/>
    </row>
    <row r="759" spans="3:3" ht="13.2">
      <c r="C759" s="95"/>
    </row>
    <row r="760" spans="3:3" ht="13.2">
      <c r="C760" s="95"/>
    </row>
    <row r="761" spans="3:3" ht="13.2">
      <c r="C761" s="95"/>
    </row>
    <row r="762" spans="3:3" ht="13.2">
      <c r="C762" s="95"/>
    </row>
    <row r="763" spans="3:3" ht="13.2">
      <c r="C763" s="95"/>
    </row>
    <row r="764" spans="3:3" ht="13.2">
      <c r="C764" s="95"/>
    </row>
    <row r="765" spans="3:3" ht="13.2">
      <c r="C765" s="95"/>
    </row>
    <row r="766" spans="3:3" ht="13.2">
      <c r="C766" s="95"/>
    </row>
    <row r="767" spans="3:3" ht="13.2">
      <c r="C767" s="95"/>
    </row>
    <row r="768" spans="3:3" ht="13.2">
      <c r="C768" s="95"/>
    </row>
    <row r="769" spans="3:3" ht="13.2">
      <c r="C769" s="95"/>
    </row>
    <row r="770" spans="3:3" ht="13.2">
      <c r="C770" s="95"/>
    </row>
    <row r="771" spans="3:3" ht="13.2">
      <c r="C771" s="95"/>
    </row>
    <row r="772" spans="3:3" ht="13.2">
      <c r="C772" s="95"/>
    </row>
    <row r="773" spans="3:3" ht="13.2">
      <c r="C773" s="95"/>
    </row>
    <row r="774" spans="3:3" ht="13.2">
      <c r="C774" s="95"/>
    </row>
    <row r="775" spans="3:3" ht="13.2">
      <c r="C775" s="95"/>
    </row>
    <row r="776" spans="3:3" ht="13.2">
      <c r="C776" s="95"/>
    </row>
    <row r="777" spans="3:3" ht="13.2">
      <c r="C777" s="95"/>
    </row>
    <row r="778" spans="3:3" ht="13.2">
      <c r="C778" s="95"/>
    </row>
    <row r="779" spans="3:3" ht="13.2">
      <c r="C779" s="95"/>
    </row>
    <row r="780" spans="3:3" ht="13.2">
      <c r="C780" s="95"/>
    </row>
    <row r="781" spans="3:3" ht="13.2">
      <c r="C781" s="95"/>
    </row>
    <row r="782" spans="3:3" ht="13.2">
      <c r="C782" s="95"/>
    </row>
    <row r="783" spans="3:3" ht="13.2">
      <c r="C783" s="95"/>
    </row>
    <row r="784" spans="3:3" ht="13.2">
      <c r="C784" s="95"/>
    </row>
    <row r="785" spans="3:3" ht="13.2">
      <c r="C785" s="95"/>
    </row>
    <row r="786" spans="3:3" ht="13.2">
      <c r="C786" s="95"/>
    </row>
    <row r="787" spans="3:3" ht="13.2">
      <c r="C787" s="95"/>
    </row>
    <row r="788" spans="3:3" ht="13.2">
      <c r="C788" s="95"/>
    </row>
    <row r="789" spans="3:3" ht="13.2">
      <c r="C789" s="95"/>
    </row>
    <row r="790" spans="3:3" ht="13.2">
      <c r="C790" s="95"/>
    </row>
    <row r="791" spans="3:3" ht="13.2">
      <c r="C791" s="95"/>
    </row>
    <row r="792" spans="3:3" ht="13.2">
      <c r="C792" s="95"/>
    </row>
    <row r="793" spans="3:3" ht="13.2">
      <c r="C793" s="95"/>
    </row>
    <row r="794" spans="3:3" ht="13.2">
      <c r="C794" s="95"/>
    </row>
    <row r="795" spans="3:3" ht="13.2">
      <c r="C795" s="95"/>
    </row>
    <row r="796" spans="3:3" ht="13.2">
      <c r="C796" s="95"/>
    </row>
    <row r="797" spans="3:3" ht="13.2">
      <c r="C797" s="95"/>
    </row>
    <row r="798" spans="3:3" ht="13.2">
      <c r="C798" s="95"/>
    </row>
    <row r="799" spans="3:3" ht="13.2">
      <c r="C799" s="95"/>
    </row>
    <row r="800" spans="3:3" ht="13.2">
      <c r="C800" s="95"/>
    </row>
    <row r="801" spans="3:3" ht="13.2">
      <c r="C801" s="95"/>
    </row>
    <row r="802" spans="3:3" ht="13.2">
      <c r="C802" s="95"/>
    </row>
    <row r="803" spans="3:3" ht="13.2">
      <c r="C803" s="95"/>
    </row>
    <row r="804" spans="3:3" ht="13.2">
      <c r="C804" s="95"/>
    </row>
    <row r="805" spans="3:3" ht="13.2">
      <c r="C805" s="95"/>
    </row>
    <row r="806" spans="3:3" ht="13.2">
      <c r="C806" s="95"/>
    </row>
    <row r="807" spans="3:3" ht="13.2">
      <c r="C807" s="95"/>
    </row>
    <row r="808" spans="3:3" ht="13.2">
      <c r="C808" s="95"/>
    </row>
    <row r="809" spans="3:3" ht="13.2">
      <c r="C809" s="95"/>
    </row>
    <row r="810" spans="3:3" ht="13.2">
      <c r="C810" s="95"/>
    </row>
    <row r="811" spans="3:3" ht="13.2">
      <c r="C811" s="95"/>
    </row>
    <row r="812" spans="3:3" ht="13.2">
      <c r="C812" s="95"/>
    </row>
    <row r="813" spans="3:3" ht="13.2">
      <c r="C813" s="95"/>
    </row>
    <row r="814" spans="3:3" ht="13.2">
      <c r="C814" s="95"/>
    </row>
    <row r="815" spans="3:3" ht="13.2">
      <c r="C815" s="95"/>
    </row>
    <row r="816" spans="3:3" ht="13.2">
      <c r="C816" s="95"/>
    </row>
    <row r="817" spans="3:3" ht="13.2">
      <c r="C817" s="95"/>
    </row>
    <row r="818" spans="3:3" ht="13.2">
      <c r="C818" s="95"/>
    </row>
    <row r="819" spans="3:3" ht="13.2">
      <c r="C819" s="95"/>
    </row>
    <row r="820" spans="3:3" ht="13.2">
      <c r="C820" s="95"/>
    </row>
    <row r="821" spans="3:3" ht="13.2">
      <c r="C821" s="95"/>
    </row>
    <row r="822" spans="3:3" ht="13.2">
      <c r="C822" s="95"/>
    </row>
    <row r="823" spans="3:3" ht="13.2">
      <c r="C823" s="95"/>
    </row>
    <row r="824" spans="3:3" ht="13.2">
      <c r="C824" s="95"/>
    </row>
    <row r="825" spans="3:3" ht="13.2">
      <c r="C825" s="95"/>
    </row>
    <row r="826" spans="3:3" ht="13.2">
      <c r="C826" s="95"/>
    </row>
    <row r="827" spans="3:3" ht="13.2">
      <c r="C827" s="95"/>
    </row>
    <row r="828" spans="3:3" ht="13.2">
      <c r="C828" s="95"/>
    </row>
    <row r="829" spans="3:3" ht="13.2">
      <c r="C829" s="95"/>
    </row>
    <row r="830" spans="3:3" ht="13.2">
      <c r="C830" s="95"/>
    </row>
    <row r="831" spans="3:3" ht="13.2">
      <c r="C831" s="95"/>
    </row>
    <row r="832" spans="3:3" ht="13.2">
      <c r="C832" s="95"/>
    </row>
    <row r="833" spans="3:3" ht="13.2">
      <c r="C833" s="95"/>
    </row>
    <row r="834" spans="3:3" ht="13.2">
      <c r="C834" s="95"/>
    </row>
    <row r="835" spans="3:3" ht="13.2">
      <c r="C835" s="95"/>
    </row>
    <row r="836" spans="3:3" ht="13.2">
      <c r="C836" s="95"/>
    </row>
    <row r="837" spans="3:3" ht="13.2">
      <c r="C837" s="95"/>
    </row>
    <row r="838" spans="3:3" ht="13.2">
      <c r="C838" s="95"/>
    </row>
    <row r="839" spans="3:3" ht="13.2">
      <c r="C839" s="95"/>
    </row>
    <row r="840" spans="3:3" ht="13.2">
      <c r="C840" s="95"/>
    </row>
    <row r="841" spans="3:3" ht="13.2">
      <c r="C841" s="95"/>
    </row>
    <row r="842" spans="3:3" ht="13.2">
      <c r="C842" s="95"/>
    </row>
    <row r="843" spans="3:3" ht="13.2">
      <c r="C843" s="95"/>
    </row>
    <row r="844" spans="3:3" ht="13.2">
      <c r="C844" s="95"/>
    </row>
    <row r="845" spans="3:3" ht="13.2">
      <c r="C845" s="95"/>
    </row>
    <row r="846" spans="3:3" ht="13.2">
      <c r="C846" s="95"/>
    </row>
    <row r="847" spans="3:3" ht="13.2">
      <c r="C847" s="95"/>
    </row>
    <row r="848" spans="3:3" ht="13.2">
      <c r="C848" s="95"/>
    </row>
    <row r="849" spans="3:3" ht="13.2">
      <c r="C849" s="95"/>
    </row>
    <row r="850" spans="3:3" ht="13.2">
      <c r="C850" s="95"/>
    </row>
    <row r="851" spans="3:3" ht="13.2">
      <c r="C851" s="95"/>
    </row>
    <row r="852" spans="3:3" ht="13.2">
      <c r="C852" s="95"/>
    </row>
    <row r="853" spans="3:3" ht="13.2">
      <c r="C853" s="95"/>
    </row>
    <row r="854" spans="3:3" ht="13.2">
      <c r="C854" s="95"/>
    </row>
    <row r="855" spans="3:3" ht="13.2">
      <c r="C855" s="95"/>
    </row>
    <row r="856" spans="3:3" ht="13.2">
      <c r="C856" s="95"/>
    </row>
    <row r="857" spans="3:3" ht="13.2">
      <c r="C857" s="95"/>
    </row>
    <row r="858" spans="3:3" ht="13.2">
      <c r="C858" s="95"/>
    </row>
    <row r="859" spans="3:3" ht="13.2">
      <c r="C859" s="95"/>
    </row>
    <row r="860" spans="3:3" ht="13.2">
      <c r="C860" s="95"/>
    </row>
    <row r="861" spans="3:3" ht="13.2">
      <c r="C861" s="95"/>
    </row>
    <row r="862" spans="3:3" ht="13.2">
      <c r="C862" s="95"/>
    </row>
    <row r="863" spans="3:3" ht="13.2">
      <c r="C863" s="95"/>
    </row>
    <row r="864" spans="3:3" ht="13.2">
      <c r="C864" s="95"/>
    </row>
    <row r="865" spans="3:3" ht="13.2">
      <c r="C865" s="95"/>
    </row>
    <row r="866" spans="3:3" ht="13.2">
      <c r="C866" s="95"/>
    </row>
    <row r="867" spans="3:3" ht="13.2">
      <c r="C867" s="95"/>
    </row>
    <row r="868" spans="3:3" ht="13.2">
      <c r="C868" s="95"/>
    </row>
    <row r="869" spans="3:3" ht="13.2">
      <c r="C869" s="95"/>
    </row>
    <row r="870" spans="3:3" ht="13.2">
      <c r="C870" s="95"/>
    </row>
    <row r="871" spans="3:3" ht="13.2">
      <c r="C871" s="95"/>
    </row>
    <row r="872" spans="3:3" ht="13.2">
      <c r="C872" s="95"/>
    </row>
    <row r="873" spans="3:3" ht="13.2">
      <c r="C873" s="95"/>
    </row>
    <row r="874" spans="3:3" ht="13.2">
      <c r="C874" s="95"/>
    </row>
    <row r="875" spans="3:3" ht="13.2">
      <c r="C875" s="95"/>
    </row>
    <row r="876" spans="3:3" ht="13.2">
      <c r="C876" s="95"/>
    </row>
    <row r="877" spans="3:3" ht="13.2">
      <c r="C877" s="95"/>
    </row>
    <row r="878" spans="3:3" ht="13.2">
      <c r="C878" s="95"/>
    </row>
    <row r="879" spans="3:3" ht="13.2">
      <c r="C879" s="95"/>
    </row>
    <row r="880" spans="3:3" ht="13.2">
      <c r="C880" s="95"/>
    </row>
    <row r="881" spans="3:3" ht="13.2">
      <c r="C881" s="95"/>
    </row>
    <row r="882" spans="3:3" ht="13.2">
      <c r="C882" s="95"/>
    </row>
    <row r="883" spans="3:3" ht="13.2">
      <c r="C883" s="95"/>
    </row>
    <row r="884" spans="3:3" ht="13.2">
      <c r="C884" s="95"/>
    </row>
    <row r="885" spans="3:3" ht="13.2">
      <c r="C885" s="95"/>
    </row>
    <row r="886" spans="3:3" ht="13.2">
      <c r="C886" s="95"/>
    </row>
    <row r="887" spans="3:3" ht="13.2">
      <c r="C887" s="95"/>
    </row>
    <row r="888" spans="3:3" ht="13.2">
      <c r="C888" s="95"/>
    </row>
    <row r="889" spans="3:3" ht="13.2">
      <c r="C889" s="95"/>
    </row>
    <row r="890" spans="3:3" ht="13.2">
      <c r="C890" s="95"/>
    </row>
    <row r="891" spans="3:3" ht="13.2">
      <c r="C891" s="95"/>
    </row>
    <row r="892" spans="3:3" ht="13.2">
      <c r="C892" s="95"/>
    </row>
    <row r="893" spans="3:3" ht="13.2">
      <c r="C893" s="95"/>
    </row>
    <row r="894" spans="3:3" ht="13.2">
      <c r="C894" s="95"/>
    </row>
    <row r="895" spans="3:3" ht="13.2">
      <c r="C895" s="95"/>
    </row>
    <row r="896" spans="3:3" ht="13.2">
      <c r="C896" s="95"/>
    </row>
    <row r="897" spans="3:3" ht="13.2">
      <c r="C897" s="95"/>
    </row>
    <row r="898" spans="3:3" ht="13.2">
      <c r="C898" s="95"/>
    </row>
    <row r="899" spans="3:3" ht="13.2">
      <c r="C899" s="95"/>
    </row>
    <row r="900" spans="3:3" ht="13.2">
      <c r="C900" s="95"/>
    </row>
    <row r="901" spans="3:3" ht="13.2">
      <c r="C901" s="95"/>
    </row>
    <row r="902" spans="3:3" ht="13.2">
      <c r="C902" s="95"/>
    </row>
    <row r="903" spans="3:3" ht="13.2">
      <c r="C903" s="95"/>
    </row>
    <row r="904" spans="3:3" ht="13.2">
      <c r="C904" s="95"/>
    </row>
    <row r="905" spans="3:3" ht="13.2">
      <c r="C905" s="95"/>
    </row>
    <row r="906" spans="3:3" ht="13.2">
      <c r="C906" s="95"/>
    </row>
    <row r="907" spans="3:3" ht="13.2">
      <c r="C907" s="95"/>
    </row>
    <row r="908" spans="3:3" ht="13.2">
      <c r="C908" s="95"/>
    </row>
    <row r="909" spans="3:3" ht="13.2">
      <c r="C909" s="95"/>
    </row>
    <row r="910" spans="3:3" ht="13.2">
      <c r="C910" s="95"/>
    </row>
    <row r="911" spans="3:3" ht="13.2">
      <c r="C911" s="95"/>
    </row>
    <row r="912" spans="3:3" ht="13.2">
      <c r="C912" s="95"/>
    </row>
    <row r="913" spans="3:3" ht="13.2">
      <c r="C913" s="95"/>
    </row>
    <row r="914" spans="3:3" ht="13.2">
      <c r="C914" s="95"/>
    </row>
    <row r="915" spans="3:3" ht="13.2">
      <c r="C915" s="95"/>
    </row>
    <row r="916" spans="3:3" ht="13.2">
      <c r="C916" s="95"/>
    </row>
    <row r="917" spans="3:3" ht="13.2">
      <c r="C917" s="95"/>
    </row>
    <row r="918" spans="3:3" ht="13.2">
      <c r="C918" s="95"/>
    </row>
    <row r="919" spans="3:3" ht="13.2">
      <c r="C919" s="95"/>
    </row>
    <row r="920" spans="3:3" ht="13.2">
      <c r="C920" s="95"/>
    </row>
    <row r="921" spans="3:3" ht="13.2">
      <c r="C921" s="95"/>
    </row>
    <row r="922" spans="3:3" ht="13.2">
      <c r="C922" s="95"/>
    </row>
    <row r="923" spans="3:3" ht="13.2">
      <c r="C923" s="95"/>
    </row>
    <row r="924" spans="3:3" ht="13.2">
      <c r="C924" s="95"/>
    </row>
    <row r="925" spans="3:3" ht="13.2">
      <c r="C925" s="95"/>
    </row>
    <row r="926" spans="3:3" ht="13.2">
      <c r="C926" s="95"/>
    </row>
    <row r="927" spans="3:3" ht="13.2">
      <c r="C927" s="95"/>
    </row>
    <row r="928" spans="3:3" ht="13.2">
      <c r="C928" s="95"/>
    </row>
    <row r="929" spans="3:3" ht="13.2">
      <c r="C929" s="95"/>
    </row>
    <row r="930" spans="3:3" ht="13.2">
      <c r="C930" s="95"/>
    </row>
    <row r="931" spans="3:3" ht="13.2">
      <c r="C931" s="95"/>
    </row>
    <row r="932" spans="3:3" ht="13.2">
      <c r="C932" s="95"/>
    </row>
    <row r="933" spans="3:3" ht="13.2">
      <c r="C933" s="95"/>
    </row>
    <row r="934" spans="3:3" ht="13.2">
      <c r="C934" s="95"/>
    </row>
    <row r="935" spans="3:3" ht="13.2">
      <c r="C935" s="95"/>
    </row>
    <row r="936" spans="3:3" ht="13.2">
      <c r="C936" s="95"/>
    </row>
    <row r="937" spans="3:3" ht="13.2">
      <c r="C937" s="95"/>
    </row>
    <row r="938" spans="3:3" ht="13.2">
      <c r="C938" s="95"/>
    </row>
    <row r="939" spans="3:3" ht="13.2">
      <c r="C939" s="95"/>
    </row>
    <row r="940" spans="3:3" ht="13.2">
      <c r="C940" s="95"/>
    </row>
    <row r="941" spans="3:3" ht="13.2">
      <c r="C941" s="95"/>
    </row>
    <row r="942" spans="3:3" ht="13.2">
      <c r="C942" s="95"/>
    </row>
    <row r="943" spans="3:3" ht="13.2">
      <c r="C943" s="95"/>
    </row>
    <row r="944" spans="3:3" ht="13.2">
      <c r="C944" s="95"/>
    </row>
    <row r="945" spans="3:3" ht="13.2">
      <c r="C945" s="95"/>
    </row>
    <row r="946" spans="3:3" ht="13.2">
      <c r="C946" s="95"/>
    </row>
    <row r="947" spans="3:3" ht="13.2">
      <c r="C947" s="95"/>
    </row>
    <row r="948" spans="3:3" ht="13.2">
      <c r="C948" s="95"/>
    </row>
    <row r="949" spans="3:3" ht="13.2">
      <c r="C949" s="95"/>
    </row>
    <row r="950" spans="3:3" ht="13.2">
      <c r="C950" s="95"/>
    </row>
    <row r="951" spans="3:3" ht="13.2">
      <c r="C951" s="95"/>
    </row>
    <row r="952" spans="3:3" ht="13.2">
      <c r="C952" s="95"/>
    </row>
    <row r="953" spans="3:3" ht="13.2">
      <c r="C953" s="95"/>
    </row>
    <row r="954" spans="3:3" ht="13.2">
      <c r="C954" s="95"/>
    </row>
    <row r="955" spans="3:3" ht="13.2">
      <c r="C955" s="95"/>
    </row>
    <row r="956" spans="3:3" ht="13.2">
      <c r="C956" s="95"/>
    </row>
    <row r="957" spans="3:3" ht="13.2">
      <c r="C957" s="95"/>
    </row>
    <row r="958" spans="3:3" ht="13.2">
      <c r="C958" s="95"/>
    </row>
    <row r="959" spans="3:3" ht="13.2">
      <c r="C959" s="95"/>
    </row>
    <row r="960" spans="3:3" ht="13.2">
      <c r="C960" s="95"/>
    </row>
    <row r="961" spans="3:3" ht="13.2">
      <c r="C961" s="95"/>
    </row>
    <row r="962" spans="3:3" ht="13.2">
      <c r="C962" s="95"/>
    </row>
    <row r="963" spans="3:3" ht="13.2">
      <c r="C963" s="95"/>
    </row>
    <row r="964" spans="3:3" ht="13.2">
      <c r="C964" s="95"/>
    </row>
    <row r="965" spans="3:3" ht="13.2">
      <c r="C965" s="95"/>
    </row>
    <row r="966" spans="3:3" ht="13.2">
      <c r="C966" s="95"/>
    </row>
    <row r="967" spans="3:3" ht="13.2">
      <c r="C967" s="95"/>
    </row>
    <row r="968" spans="3:3" ht="13.2">
      <c r="C968" s="95"/>
    </row>
    <row r="969" spans="3:3" ht="13.2">
      <c r="C969" s="95"/>
    </row>
    <row r="970" spans="3:3" ht="13.2">
      <c r="C970" s="95"/>
    </row>
    <row r="971" spans="3:3" ht="13.2">
      <c r="C971" s="95"/>
    </row>
    <row r="972" spans="3:3" ht="13.2">
      <c r="C972" s="95"/>
    </row>
    <row r="973" spans="3:3" ht="13.2">
      <c r="C973" s="95"/>
    </row>
    <row r="974" spans="3:3" ht="13.2">
      <c r="C974" s="95"/>
    </row>
    <row r="975" spans="3:3" ht="13.2">
      <c r="C975" s="95"/>
    </row>
    <row r="976" spans="3:3" ht="13.2">
      <c r="C976" s="95"/>
    </row>
    <row r="977" spans="3:3" ht="13.2">
      <c r="C977" s="95"/>
    </row>
    <row r="978" spans="3:3" ht="13.2">
      <c r="C978" s="95"/>
    </row>
    <row r="979" spans="3:3" ht="13.2">
      <c r="C979" s="95"/>
    </row>
    <row r="980" spans="3:3" ht="13.2">
      <c r="C980" s="95"/>
    </row>
    <row r="981" spans="3:3" ht="13.2">
      <c r="C981" s="95"/>
    </row>
    <row r="982" spans="3:3" ht="13.2">
      <c r="C982" s="95"/>
    </row>
    <row r="983" spans="3:3" ht="13.2">
      <c r="C983" s="95"/>
    </row>
    <row r="984" spans="3:3" ht="13.2">
      <c r="C984" s="95"/>
    </row>
    <row r="985" spans="3:3" ht="13.2">
      <c r="C985" s="95"/>
    </row>
    <row r="986" spans="3:3" ht="13.2">
      <c r="C986" s="95"/>
    </row>
    <row r="987" spans="3:3" ht="13.2">
      <c r="C987" s="95"/>
    </row>
    <row r="988" spans="3:3" ht="13.2">
      <c r="C988" s="95"/>
    </row>
    <row r="989" spans="3:3" ht="13.2">
      <c r="C989" s="95"/>
    </row>
    <row r="990" spans="3:3" ht="13.2">
      <c r="C990" s="95"/>
    </row>
    <row r="991" spans="3:3" ht="13.2">
      <c r="C991" s="95"/>
    </row>
    <row r="992" spans="3:3" ht="13.2">
      <c r="C992" s="95"/>
    </row>
    <row r="993" spans="3:3" ht="13.2">
      <c r="C993" s="95"/>
    </row>
    <row r="994" spans="3:3" ht="13.2">
      <c r="C994" s="95"/>
    </row>
    <row r="995" spans="3:3" ht="13.2">
      <c r="C995" s="95"/>
    </row>
    <row r="996" spans="3:3" ht="13.2">
      <c r="C996" s="95"/>
    </row>
    <row r="997" spans="3:3" ht="13.2">
      <c r="C997" s="95"/>
    </row>
    <row r="998" spans="3:3" ht="13.2">
      <c r="C998" s="95"/>
    </row>
    <row r="999" spans="3:3" ht="13.2">
      <c r="C999" s="95"/>
    </row>
    <row r="1000" spans="3:3" ht="13.2">
      <c r="C1000" s="95"/>
    </row>
    <row r="1001" spans="3:3" ht="13.2">
      <c r="C1001" s="95"/>
    </row>
    <row r="1002" spans="3:3" ht="13.2">
      <c r="C1002" s="95"/>
    </row>
  </sheetData>
  <mergeCells count="39">
    <mergeCell ref="A88:B88"/>
    <mergeCell ref="E88:K88"/>
    <mergeCell ref="D89:G89"/>
    <mergeCell ref="F94:F95"/>
    <mergeCell ref="G94:G95"/>
    <mergeCell ref="R4:R76"/>
    <mergeCell ref="S89:T89"/>
    <mergeCell ref="D97:F98"/>
    <mergeCell ref="J98:J99"/>
    <mergeCell ref="D2:D3"/>
    <mergeCell ref="E2:E3"/>
    <mergeCell ref="AB1:AD1"/>
    <mergeCell ref="A2:A3"/>
    <mergeCell ref="B2:B3"/>
    <mergeCell ref="C2:C3"/>
    <mergeCell ref="Z2:Z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W2:W3"/>
    <mergeCell ref="X2:X3"/>
    <mergeCell ref="Y2:Y3"/>
    <mergeCell ref="D1:J1"/>
    <mergeCell ref="K1:Q1"/>
    <mergeCell ref="S1:Z1"/>
    <mergeCell ref="Q2:Q3"/>
    <mergeCell ref="R2:R3"/>
    <mergeCell ref="S2:S3"/>
    <mergeCell ref="T2:T3"/>
    <mergeCell ref="U2:U3"/>
    <mergeCell ref="V2:V3"/>
  </mergeCells>
  <conditionalFormatting sqref="K4:Q86 K103:Q121">
    <cfRule type="colorScale" priority="1">
      <colorScale>
        <cfvo type="formula" val="30"/>
        <cfvo type="formula" val="40"/>
        <cfvo type="formula" val="50"/>
        <color rgb="FFFF0000"/>
        <color rgb="FFFFD666"/>
        <color rgb="FF00FF00"/>
      </colorScale>
    </cfRule>
  </conditionalFormatting>
  <conditionalFormatting sqref="R4:R76 S4:Y86 R85:R86 R103:Y121">
    <cfRule type="colorScale" priority="2">
      <colorScale>
        <cfvo type="formula" val="0"/>
        <cfvo type="formula" val="1"/>
        <cfvo type="formula" val="1"/>
        <color rgb="FFFFFFFF"/>
        <color rgb="FFABDDC5"/>
        <color rgb="FFFF0000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"/>
  <sheetViews>
    <sheetView workbookViewId="0"/>
  </sheetViews>
  <sheetFormatPr defaultColWidth="12.6640625" defaultRowHeight="15.75" customHeight="1"/>
  <sheetData>
    <row r="1" spans="1:30" ht="15.75" customHeight="1">
      <c r="A1" s="3" t="e">
        <f>#REF!+1</f>
        <v>#REF!</v>
      </c>
      <c r="B1" s="4" t="s">
        <v>1</v>
      </c>
      <c r="C1" s="5" t="s">
        <v>2</v>
      </c>
      <c r="D1" s="6">
        <v>46229</v>
      </c>
      <c r="E1" s="6">
        <v>46229</v>
      </c>
      <c r="F1" s="7"/>
      <c r="G1" s="7"/>
      <c r="H1" s="7"/>
      <c r="I1" s="6">
        <v>46283</v>
      </c>
      <c r="J1" s="6">
        <v>46283</v>
      </c>
      <c r="K1" s="11" t="str">
        <f>IF(OR($AB$1="",E1=""),"",E1-$AB$1)</f>
        <v/>
      </c>
      <c r="L1" s="11" t="str">
        <f t="shared" ref="L1:Q1" si="0">IF(OR($AB$1="",E1=""),"",E1-$AB$1)</f>
        <v/>
      </c>
      <c r="M1" s="12" t="str">
        <f t="shared" si="0"/>
        <v/>
      </c>
      <c r="N1" s="12" t="str">
        <f t="shared" si="0"/>
        <v/>
      </c>
      <c r="O1" s="12" t="str">
        <f t="shared" si="0"/>
        <v/>
      </c>
      <c r="P1" s="14" t="str">
        <f t="shared" si="0"/>
        <v/>
      </c>
      <c r="Q1" s="14" t="str">
        <f t="shared" si="0"/>
        <v/>
      </c>
      <c r="R1" s="184"/>
      <c r="S1" s="15">
        <f t="shared" ref="S1:U1" si="1">COUNTIF(K1, "&lt;30")</f>
        <v>0</v>
      </c>
      <c r="T1" s="15">
        <f t="shared" si="1"/>
        <v>0</v>
      </c>
      <c r="U1" s="16">
        <f t="shared" si="1"/>
        <v>0</v>
      </c>
      <c r="V1" s="17"/>
      <c r="W1" s="17"/>
      <c r="X1" s="16">
        <f t="shared" ref="X1:Y1" si="2">COUNTIF(P1, "&lt;30")</f>
        <v>0</v>
      </c>
      <c r="Y1" s="16">
        <f t="shared" si="2"/>
        <v>0</v>
      </c>
      <c r="Z1" s="18">
        <f t="shared" ref="Z1:Z2" si="3">COUNTIF(S1:Y1, "&gt;0")</f>
        <v>0</v>
      </c>
      <c r="AA1" s="19"/>
      <c r="AB1" s="19"/>
      <c r="AC1" s="19"/>
      <c r="AD1" s="19"/>
    </row>
    <row r="2" spans="1:30" ht="15.75" customHeight="1">
      <c r="A2" s="3" t="e">
        <f>A1+1</f>
        <v>#REF!</v>
      </c>
      <c r="B2" s="4" t="s">
        <v>26</v>
      </c>
      <c r="C2" s="5" t="s">
        <v>2</v>
      </c>
      <c r="D2" s="6">
        <v>46283</v>
      </c>
      <c r="E2" s="6">
        <v>46283</v>
      </c>
      <c r="F2" s="7"/>
      <c r="G2" s="7"/>
      <c r="H2" s="7"/>
      <c r="I2" s="6">
        <v>46292</v>
      </c>
      <c r="J2" s="6">
        <v>46292</v>
      </c>
      <c r="K2" s="14" t="str">
        <f t="shared" ref="K2:Q2" si="4">IF(OR($AB$1="",D2=""),"",D2-$AB$1)</f>
        <v/>
      </c>
      <c r="L2" s="14" t="str">
        <f t="shared" si="4"/>
        <v/>
      </c>
      <c r="M2" s="12" t="str">
        <f t="shared" si="4"/>
        <v/>
      </c>
      <c r="N2" s="12" t="str">
        <f t="shared" si="4"/>
        <v/>
      </c>
      <c r="O2" s="12" t="str">
        <f t="shared" si="4"/>
        <v/>
      </c>
      <c r="P2" s="20" t="str">
        <f t="shared" si="4"/>
        <v/>
      </c>
      <c r="Q2" s="20" t="str">
        <f t="shared" si="4"/>
        <v/>
      </c>
      <c r="R2" s="184"/>
      <c r="S2" s="16">
        <f t="shared" ref="S2:U2" si="5">COUNTIF(K2, "&lt;30")</f>
        <v>0</v>
      </c>
      <c r="T2" s="16">
        <f t="shared" si="5"/>
        <v>0</v>
      </c>
      <c r="U2" s="16">
        <f t="shared" si="5"/>
        <v>0</v>
      </c>
      <c r="V2" s="17"/>
      <c r="W2" s="17"/>
      <c r="X2" s="16">
        <f t="shared" ref="X2:Y2" si="6">COUNTIF(P2, "&lt;30")</f>
        <v>0</v>
      </c>
      <c r="Y2" s="16">
        <f t="shared" si="6"/>
        <v>0</v>
      </c>
      <c r="Z2" s="18">
        <f t="shared" si="3"/>
        <v>0</v>
      </c>
      <c r="AA2" s="19"/>
      <c r="AB2" s="19"/>
      <c r="AC2" s="19"/>
      <c r="AD2" s="19"/>
    </row>
  </sheetData>
  <mergeCells count="1">
    <mergeCell ref="R1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3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6640625" defaultRowHeight="15.75" customHeight="1"/>
  <cols>
    <col min="1" max="1" width="5.109375" customWidth="1"/>
    <col min="2" max="2" width="16" customWidth="1"/>
    <col min="3" max="3" width="4.44140625" customWidth="1"/>
    <col min="4" max="4" width="28.109375" customWidth="1"/>
    <col min="5" max="5" width="27.44140625" customWidth="1"/>
    <col min="6" max="7" width="28.88671875" customWidth="1"/>
    <col min="8" max="9" width="28.21875" customWidth="1"/>
    <col min="10" max="11" width="27.109375" customWidth="1"/>
    <col min="12" max="12" width="20" customWidth="1"/>
    <col min="13" max="19" width="23.33203125" customWidth="1"/>
  </cols>
  <sheetData>
    <row r="1" spans="1:32" ht="15.75" customHeight="1">
      <c r="A1" s="1"/>
      <c r="B1" s="1"/>
      <c r="C1" s="1"/>
      <c r="D1" s="183" t="s">
        <v>0</v>
      </c>
      <c r="E1" s="184"/>
      <c r="F1" s="184"/>
      <c r="G1" s="184"/>
      <c r="H1" s="184"/>
      <c r="I1" s="184"/>
      <c r="J1" s="184"/>
      <c r="K1" s="184"/>
      <c r="L1" s="185" t="s">
        <v>3</v>
      </c>
      <c r="M1" s="186"/>
      <c r="N1" s="186"/>
      <c r="O1" s="186"/>
      <c r="P1" s="186"/>
      <c r="Q1" s="186"/>
      <c r="R1" s="186"/>
      <c r="S1" s="187"/>
      <c r="T1" s="8"/>
      <c r="U1" s="185" t="s">
        <v>5</v>
      </c>
      <c r="V1" s="186"/>
      <c r="W1" s="186"/>
      <c r="X1" s="186"/>
      <c r="Y1" s="186"/>
      <c r="Z1" s="186"/>
      <c r="AA1" s="186"/>
      <c r="AB1" s="187"/>
      <c r="AD1" s="9">
        <f ca="1">TODAY()</f>
        <v>46297</v>
      </c>
      <c r="AE1" s="10"/>
      <c r="AF1" s="10"/>
    </row>
    <row r="2" spans="1:32">
      <c r="A2" s="209" t="s">
        <v>6</v>
      </c>
      <c r="B2" s="209" t="s">
        <v>7</v>
      </c>
      <c r="C2" s="209" t="s">
        <v>8</v>
      </c>
      <c r="D2" s="193" t="s">
        <v>10</v>
      </c>
      <c r="E2" s="193" t="s">
        <v>13</v>
      </c>
      <c r="F2" s="193" t="s">
        <v>12</v>
      </c>
      <c r="G2" s="193" t="s">
        <v>12</v>
      </c>
      <c r="H2" s="193" t="s">
        <v>14</v>
      </c>
      <c r="I2" s="193" t="s">
        <v>14</v>
      </c>
      <c r="J2" s="193" t="s">
        <v>17</v>
      </c>
      <c r="K2" s="193" t="s">
        <v>17</v>
      </c>
      <c r="L2" s="181" t="s">
        <v>10</v>
      </c>
      <c r="M2" s="181" t="s">
        <v>13</v>
      </c>
      <c r="N2" s="181" t="s">
        <v>20</v>
      </c>
      <c r="O2" s="181" t="s">
        <v>20</v>
      </c>
      <c r="P2" s="181" t="s">
        <v>21</v>
      </c>
      <c r="Q2" s="181" t="s">
        <v>21</v>
      </c>
      <c r="R2" s="181" t="s">
        <v>22</v>
      </c>
      <c r="S2" s="181" t="s">
        <v>22</v>
      </c>
      <c r="T2" s="181"/>
      <c r="U2" s="181" t="s">
        <v>10</v>
      </c>
      <c r="V2" s="181" t="s">
        <v>13</v>
      </c>
      <c r="W2" s="181" t="s">
        <v>20</v>
      </c>
      <c r="X2" s="181" t="s">
        <v>20</v>
      </c>
      <c r="Y2" s="181" t="s">
        <v>21</v>
      </c>
      <c r="Z2" s="181" t="s">
        <v>22</v>
      </c>
      <c r="AA2" s="181" t="s">
        <v>22</v>
      </c>
      <c r="AB2" s="191" t="s">
        <v>28</v>
      </c>
    </row>
    <row r="3" spans="1:32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spans="1:32" ht="15.75" customHeight="1">
      <c r="A4" s="3">
        <v>1</v>
      </c>
      <c r="B4" s="25" t="s">
        <v>33</v>
      </c>
      <c r="C4" s="27" t="s">
        <v>34</v>
      </c>
      <c r="D4" s="29"/>
      <c r="E4" s="29"/>
      <c r="F4" s="30"/>
      <c r="G4" s="30"/>
      <c r="H4" s="31">
        <v>46259</v>
      </c>
      <c r="I4" s="31">
        <v>46259</v>
      </c>
      <c r="J4" s="31">
        <v>46259</v>
      </c>
      <c r="K4" s="31">
        <v>46259</v>
      </c>
      <c r="L4" s="32" t="str">
        <f t="shared" ref="L4:S4" ca="1" si="0">IF(OR($AD$1="",D4=""),"",D4-$AD$1)</f>
        <v/>
      </c>
      <c r="M4" s="32" t="str">
        <f t="shared" ca="1" si="0"/>
        <v/>
      </c>
      <c r="N4" s="32" t="str">
        <f t="shared" ca="1" si="0"/>
        <v/>
      </c>
      <c r="O4" s="32" t="str">
        <f t="shared" ca="1" si="0"/>
        <v/>
      </c>
      <c r="P4" s="32">
        <f t="shared" ca="1" si="0"/>
        <v>-38</v>
      </c>
      <c r="Q4" s="32">
        <f t="shared" ca="1" si="0"/>
        <v>-38</v>
      </c>
      <c r="R4" s="32">
        <f t="shared" ca="1" si="0"/>
        <v>-38</v>
      </c>
      <c r="S4" s="32">
        <f t="shared" ca="1" si="0"/>
        <v>-38</v>
      </c>
      <c r="T4" s="194"/>
      <c r="U4" s="33">
        <f t="shared" ref="U4:X4" ca="1" si="1">COUNTIF(L4, "&lt;30")</f>
        <v>0</v>
      </c>
      <c r="V4" s="33">
        <f t="shared" ca="1" si="1"/>
        <v>0</v>
      </c>
      <c r="W4" s="33">
        <f t="shared" ca="1" si="1"/>
        <v>0</v>
      </c>
      <c r="X4" s="33">
        <f t="shared" ca="1" si="1"/>
        <v>0</v>
      </c>
      <c r="Y4" s="33">
        <f t="shared" ref="Y4:AA4" ca="1" si="2">COUNTIF(Q4, "&lt;30")</f>
        <v>1</v>
      </c>
      <c r="Z4" s="33">
        <f t="shared" ca="1" si="2"/>
        <v>1</v>
      </c>
      <c r="AA4" s="33">
        <f t="shared" ca="1" si="2"/>
        <v>1</v>
      </c>
      <c r="AB4" s="34">
        <f t="shared" ref="AB4:AB20" ca="1" si="3">COUNTIF(U4:AA4, "&gt;0")</f>
        <v>3</v>
      </c>
    </row>
    <row r="5" spans="1:32" ht="15.75" customHeight="1">
      <c r="A5" s="3">
        <f t="shared" ref="A5:A20" si="4">A4+1</f>
        <v>2</v>
      </c>
      <c r="B5" s="25" t="s">
        <v>36</v>
      </c>
      <c r="C5" s="27" t="s">
        <v>34</v>
      </c>
      <c r="D5" s="29"/>
      <c r="E5" s="28"/>
      <c r="F5" s="31"/>
      <c r="G5" s="31"/>
      <c r="H5" s="31">
        <v>46259</v>
      </c>
      <c r="I5" s="31">
        <v>46259</v>
      </c>
      <c r="J5" s="31">
        <v>46259</v>
      </c>
      <c r="K5" s="31">
        <v>46259</v>
      </c>
      <c r="L5" s="32" t="str">
        <f t="shared" ref="L5:S5" ca="1" si="5">IF(OR($AD$1="",D5=""),"",D5-$AD$1)</f>
        <v/>
      </c>
      <c r="M5" s="32" t="str">
        <f t="shared" ca="1" si="5"/>
        <v/>
      </c>
      <c r="N5" s="32" t="str">
        <f t="shared" ca="1" si="5"/>
        <v/>
      </c>
      <c r="O5" s="32" t="str">
        <f t="shared" ca="1" si="5"/>
        <v/>
      </c>
      <c r="P5" s="32">
        <f t="shared" ca="1" si="5"/>
        <v>-38</v>
      </c>
      <c r="Q5" s="32">
        <f t="shared" ca="1" si="5"/>
        <v>-38</v>
      </c>
      <c r="R5" s="32">
        <f t="shared" ca="1" si="5"/>
        <v>-38</v>
      </c>
      <c r="S5" s="32">
        <f t="shared" ca="1" si="5"/>
        <v>-38</v>
      </c>
      <c r="T5" s="195"/>
      <c r="U5" s="33">
        <f t="shared" ref="U5:X5" ca="1" si="6">COUNTIF(L5, "&lt;30")</f>
        <v>0</v>
      </c>
      <c r="V5" s="33">
        <f t="shared" ca="1" si="6"/>
        <v>0</v>
      </c>
      <c r="W5" s="33">
        <f t="shared" ca="1" si="6"/>
        <v>0</v>
      </c>
      <c r="X5" s="33">
        <f t="shared" ca="1" si="6"/>
        <v>0</v>
      </c>
      <c r="Y5" s="33">
        <f t="shared" ref="Y5:AA5" ca="1" si="7">COUNTIF(Q5, "&lt;30")</f>
        <v>1</v>
      </c>
      <c r="Z5" s="33">
        <f t="shared" ca="1" si="7"/>
        <v>1</v>
      </c>
      <c r="AA5" s="33">
        <f t="shared" ca="1" si="7"/>
        <v>1</v>
      </c>
      <c r="AB5" s="34">
        <f t="shared" ca="1" si="3"/>
        <v>3</v>
      </c>
    </row>
    <row r="6" spans="1:32" ht="15.75" customHeight="1">
      <c r="A6" s="3">
        <f t="shared" si="4"/>
        <v>3</v>
      </c>
      <c r="B6" s="25" t="s">
        <v>38</v>
      </c>
      <c r="C6" s="27" t="s">
        <v>39</v>
      </c>
      <c r="D6" s="29"/>
      <c r="E6" s="29"/>
      <c r="F6" s="31">
        <v>46259</v>
      </c>
      <c r="G6" s="31">
        <v>46259</v>
      </c>
      <c r="H6" s="31">
        <v>46259</v>
      </c>
      <c r="I6" s="31">
        <v>46259</v>
      </c>
      <c r="J6" s="30"/>
      <c r="K6" s="30"/>
      <c r="L6" s="32" t="str">
        <f t="shared" ref="L6:S6" ca="1" si="8">IF(OR($AD$1="",D6=""),"",D6-$AD$1)</f>
        <v/>
      </c>
      <c r="M6" s="32" t="str">
        <f t="shared" ca="1" si="8"/>
        <v/>
      </c>
      <c r="N6" s="32">
        <f t="shared" ca="1" si="8"/>
        <v>-38</v>
      </c>
      <c r="O6" s="32">
        <f t="shared" ca="1" si="8"/>
        <v>-38</v>
      </c>
      <c r="P6" s="32">
        <f t="shared" ca="1" si="8"/>
        <v>-38</v>
      </c>
      <c r="Q6" s="32">
        <f t="shared" ca="1" si="8"/>
        <v>-38</v>
      </c>
      <c r="R6" s="32" t="str">
        <f t="shared" ca="1" si="8"/>
        <v/>
      </c>
      <c r="S6" s="32" t="str">
        <f t="shared" ca="1" si="8"/>
        <v/>
      </c>
      <c r="T6" s="195"/>
      <c r="U6" s="33">
        <f t="shared" ref="U6:X6" ca="1" si="9">COUNTIF(L6, "&lt;30")</f>
        <v>0</v>
      </c>
      <c r="V6" s="33">
        <f t="shared" ca="1" si="9"/>
        <v>0</v>
      </c>
      <c r="W6" s="33">
        <f t="shared" ca="1" si="9"/>
        <v>1</v>
      </c>
      <c r="X6" s="33">
        <f t="shared" ca="1" si="9"/>
        <v>1</v>
      </c>
      <c r="Y6" s="33">
        <f t="shared" ref="Y6:AA6" ca="1" si="10">COUNTIF(Q6, "&lt;30")</f>
        <v>1</v>
      </c>
      <c r="Z6" s="33">
        <f t="shared" ca="1" si="10"/>
        <v>0</v>
      </c>
      <c r="AA6" s="33">
        <f t="shared" ca="1" si="10"/>
        <v>0</v>
      </c>
      <c r="AB6" s="34">
        <f t="shared" ca="1" si="3"/>
        <v>3</v>
      </c>
    </row>
    <row r="7" spans="1:32" ht="15.75" customHeight="1">
      <c r="A7" s="3">
        <f t="shared" si="4"/>
        <v>4</v>
      </c>
      <c r="B7" s="25" t="s">
        <v>41</v>
      </c>
      <c r="C7" s="27" t="s">
        <v>39</v>
      </c>
      <c r="D7" s="28"/>
      <c r="E7" s="28"/>
      <c r="F7" s="31">
        <v>46259</v>
      </c>
      <c r="G7" s="31">
        <v>46259</v>
      </c>
      <c r="H7" s="31">
        <v>46259</v>
      </c>
      <c r="I7" s="31">
        <v>46259</v>
      </c>
      <c r="J7" s="31"/>
      <c r="K7" s="31"/>
      <c r="L7" s="32" t="str">
        <f t="shared" ref="L7:S7" ca="1" si="11">IF(OR($AD$1="",D7=""),"",D7-$AD$1)</f>
        <v/>
      </c>
      <c r="M7" s="32" t="str">
        <f t="shared" ca="1" si="11"/>
        <v/>
      </c>
      <c r="N7" s="32">
        <f t="shared" ca="1" si="11"/>
        <v>-38</v>
      </c>
      <c r="O7" s="32">
        <f t="shared" ca="1" si="11"/>
        <v>-38</v>
      </c>
      <c r="P7" s="32">
        <f t="shared" ca="1" si="11"/>
        <v>-38</v>
      </c>
      <c r="Q7" s="32">
        <f t="shared" ca="1" si="11"/>
        <v>-38</v>
      </c>
      <c r="R7" s="32" t="str">
        <f t="shared" ca="1" si="11"/>
        <v/>
      </c>
      <c r="S7" s="32" t="str">
        <f t="shared" ca="1" si="11"/>
        <v/>
      </c>
      <c r="T7" s="195"/>
      <c r="U7" s="33">
        <f t="shared" ref="U7:X7" ca="1" si="12">COUNTIF(L7, "&lt;30")</f>
        <v>0</v>
      </c>
      <c r="V7" s="33">
        <f t="shared" ca="1" si="12"/>
        <v>0</v>
      </c>
      <c r="W7" s="33">
        <f t="shared" ca="1" si="12"/>
        <v>1</v>
      </c>
      <c r="X7" s="33">
        <f t="shared" ca="1" si="12"/>
        <v>1</v>
      </c>
      <c r="Y7" s="33">
        <f t="shared" ref="Y7:AA7" ca="1" si="13">COUNTIF(Q7, "&lt;30")</f>
        <v>1</v>
      </c>
      <c r="Z7" s="33">
        <f t="shared" ca="1" si="13"/>
        <v>0</v>
      </c>
      <c r="AA7" s="33">
        <f t="shared" ca="1" si="13"/>
        <v>0</v>
      </c>
      <c r="AB7" s="34">
        <f t="shared" ca="1" si="3"/>
        <v>3</v>
      </c>
    </row>
    <row r="8" spans="1:32" ht="15.75" customHeight="1">
      <c r="A8" s="3">
        <f t="shared" si="4"/>
        <v>5</v>
      </c>
      <c r="B8" s="25" t="s">
        <v>43</v>
      </c>
      <c r="C8" s="27" t="s">
        <v>39</v>
      </c>
      <c r="D8" s="28"/>
      <c r="E8" s="28"/>
      <c r="F8" s="31">
        <v>46259</v>
      </c>
      <c r="G8" s="31">
        <v>46259</v>
      </c>
      <c r="H8" s="31">
        <v>46259</v>
      </c>
      <c r="I8" s="31">
        <v>46259</v>
      </c>
      <c r="J8" s="31"/>
      <c r="K8" s="31"/>
      <c r="L8" s="32" t="str">
        <f t="shared" ref="L8:S8" ca="1" si="14">IF(OR($AD$1="",D8=""),"",D8-$AD$1)</f>
        <v/>
      </c>
      <c r="M8" s="32" t="str">
        <f t="shared" ca="1" si="14"/>
        <v/>
      </c>
      <c r="N8" s="32">
        <f t="shared" ca="1" si="14"/>
        <v>-38</v>
      </c>
      <c r="O8" s="32">
        <f t="shared" ca="1" si="14"/>
        <v>-38</v>
      </c>
      <c r="P8" s="32">
        <f t="shared" ca="1" si="14"/>
        <v>-38</v>
      </c>
      <c r="Q8" s="32">
        <f t="shared" ca="1" si="14"/>
        <v>-38</v>
      </c>
      <c r="R8" s="32" t="str">
        <f t="shared" ca="1" si="14"/>
        <v/>
      </c>
      <c r="S8" s="32" t="str">
        <f t="shared" ca="1" si="14"/>
        <v/>
      </c>
      <c r="T8" s="195"/>
      <c r="U8" s="33">
        <f t="shared" ref="U8:X8" ca="1" si="15">COUNTIF(L8, "&lt;30")</f>
        <v>0</v>
      </c>
      <c r="V8" s="33">
        <f t="shared" ca="1" si="15"/>
        <v>0</v>
      </c>
      <c r="W8" s="33">
        <f t="shared" ca="1" si="15"/>
        <v>1</v>
      </c>
      <c r="X8" s="33">
        <f t="shared" ca="1" si="15"/>
        <v>1</v>
      </c>
      <c r="Y8" s="33">
        <f t="shared" ref="Y8:AA8" ca="1" si="16">COUNTIF(Q8, "&lt;30")</f>
        <v>1</v>
      </c>
      <c r="Z8" s="33">
        <f t="shared" ca="1" si="16"/>
        <v>0</v>
      </c>
      <c r="AA8" s="33">
        <f t="shared" ca="1" si="16"/>
        <v>0</v>
      </c>
      <c r="AB8" s="34">
        <f t="shared" ca="1" si="3"/>
        <v>3</v>
      </c>
    </row>
    <row r="9" spans="1:32" ht="15.75" customHeight="1">
      <c r="A9" s="3">
        <f t="shared" si="4"/>
        <v>6</v>
      </c>
      <c r="B9" s="25" t="s">
        <v>46</v>
      </c>
      <c r="C9" s="27" t="s">
        <v>39</v>
      </c>
      <c r="D9" s="28"/>
      <c r="E9" s="28"/>
      <c r="F9" s="31">
        <v>46259</v>
      </c>
      <c r="G9" s="31">
        <v>46259</v>
      </c>
      <c r="H9" s="31">
        <v>46259</v>
      </c>
      <c r="I9" s="31">
        <v>46259</v>
      </c>
      <c r="J9" s="31"/>
      <c r="K9" s="31"/>
      <c r="L9" s="32" t="str">
        <f t="shared" ref="L9:S9" ca="1" si="17">IF(OR($AD$1="",D9=""),"",D9-$AD$1)</f>
        <v/>
      </c>
      <c r="M9" s="32" t="str">
        <f t="shared" ca="1" si="17"/>
        <v/>
      </c>
      <c r="N9" s="32">
        <f t="shared" ca="1" si="17"/>
        <v>-38</v>
      </c>
      <c r="O9" s="32">
        <f t="shared" ca="1" si="17"/>
        <v>-38</v>
      </c>
      <c r="P9" s="32">
        <f t="shared" ca="1" si="17"/>
        <v>-38</v>
      </c>
      <c r="Q9" s="32">
        <f t="shared" ca="1" si="17"/>
        <v>-38</v>
      </c>
      <c r="R9" s="32" t="str">
        <f t="shared" ca="1" si="17"/>
        <v/>
      </c>
      <c r="S9" s="32" t="str">
        <f t="shared" ca="1" si="17"/>
        <v/>
      </c>
      <c r="T9" s="195"/>
      <c r="U9" s="33">
        <f t="shared" ref="U9:X9" ca="1" si="18">COUNTIF(L9, "&lt;30")</f>
        <v>0</v>
      </c>
      <c r="V9" s="33">
        <f t="shared" ca="1" si="18"/>
        <v>0</v>
      </c>
      <c r="W9" s="33">
        <f t="shared" ca="1" si="18"/>
        <v>1</v>
      </c>
      <c r="X9" s="33">
        <f t="shared" ca="1" si="18"/>
        <v>1</v>
      </c>
      <c r="Y9" s="33">
        <f t="shared" ref="Y9:AA9" ca="1" si="19">COUNTIF(Q9, "&lt;30")</f>
        <v>1</v>
      </c>
      <c r="Z9" s="33">
        <f t="shared" ca="1" si="19"/>
        <v>0</v>
      </c>
      <c r="AA9" s="33">
        <f t="shared" ca="1" si="19"/>
        <v>0</v>
      </c>
      <c r="AB9" s="34">
        <f t="shared" ca="1" si="3"/>
        <v>3</v>
      </c>
    </row>
    <row r="10" spans="1:32" ht="15.75" customHeight="1">
      <c r="A10" s="3">
        <f t="shared" si="4"/>
        <v>7</v>
      </c>
      <c r="B10" s="25" t="s">
        <v>48</v>
      </c>
      <c r="C10" s="27" t="s">
        <v>39</v>
      </c>
      <c r="D10" s="28"/>
      <c r="E10" s="28"/>
      <c r="F10" s="31">
        <v>46259</v>
      </c>
      <c r="G10" s="31">
        <v>46259</v>
      </c>
      <c r="H10" s="31">
        <v>46259</v>
      </c>
      <c r="I10" s="31">
        <v>46259</v>
      </c>
      <c r="J10" s="31"/>
      <c r="K10" s="31"/>
      <c r="L10" s="32" t="str">
        <f t="shared" ref="L10:S10" ca="1" si="20">IF(OR($AD$1="",D10=""),"",D10-$AD$1)</f>
        <v/>
      </c>
      <c r="M10" s="32" t="str">
        <f t="shared" ca="1" si="20"/>
        <v/>
      </c>
      <c r="N10" s="32">
        <f t="shared" ca="1" si="20"/>
        <v>-38</v>
      </c>
      <c r="O10" s="32">
        <f t="shared" ca="1" si="20"/>
        <v>-38</v>
      </c>
      <c r="P10" s="32">
        <f t="shared" ca="1" si="20"/>
        <v>-38</v>
      </c>
      <c r="Q10" s="32">
        <f t="shared" ca="1" si="20"/>
        <v>-38</v>
      </c>
      <c r="R10" s="32" t="str">
        <f t="shared" ca="1" si="20"/>
        <v/>
      </c>
      <c r="S10" s="32" t="str">
        <f t="shared" ca="1" si="20"/>
        <v/>
      </c>
      <c r="T10" s="195"/>
      <c r="U10" s="33">
        <f t="shared" ref="U10:X10" ca="1" si="21">COUNTIF(L10, "&lt;30")</f>
        <v>0</v>
      </c>
      <c r="V10" s="33">
        <f t="shared" ca="1" si="21"/>
        <v>0</v>
      </c>
      <c r="W10" s="33">
        <f t="shared" ca="1" si="21"/>
        <v>1</v>
      </c>
      <c r="X10" s="33">
        <f t="shared" ca="1" si="21"/>
        <v>1</v>
      </c>
      <c r="Y10" s="33">
        <f t="shared" ref="Y10:AA10" ca="1" si="22">COUNTIF(Q10, "&lt;30")</f>
        <v>1</v>
      </c>
      <c r="Z10" s="33">
        <f t="shared" ca="1" si="22"/>
        <v>0</v>
      </c>
      <c r="AA10" s="33">
        <f t="shared" ca="1" si="22"/>
        <v>0</v>
      </c>
      <c r="AB10" s="34">
        <f t="shared" ca="1" si="3"/>
        <v>3</v>
      </c>
    </row>
    <row r="11" spans="1:32" ht="15.75" customHeight="1">
      <c r="A11" s="3">
        <f t="shared" si="4"/>
        <v>8</v>
      </c>
      <c r="B11" s="25" t="s">
        <v>50</v>
      </c>
      <c r="C11" s="27" t="s">
        <v>39</v>
      </c>
      <c r="D11" s="28"/>
      <c r="E11" s="28"/>
      <c r="F11" s="31">
        <v>46259</v>
      </c>
      <c r="G11" s="31">
        <v>46259</v>
      </c>
      <c r="H11" s="31">
        <v>46259</v>
      </c>
      <c r="I11" s="31">
        <v>46259</v>
      </c>
      <c r="J11" s="31"/>
      <c r="K11" s="31"/>
      <c r="L11" s="32" t="str">
        <f t="shared" ref="L11:S11" ca="1" si="23">IF(OR($AD$1="",D11=""),"",D11-$AD$1)</f>
        <v/>
      </c>
      <c r="M11" s="32" t="str">
        <f t="shared" ca="1" si="23"/>
        <v/>
      </c>
      <c r="N11" s="32">
        <f t="shared" ca="1" si="23"/>
        <v>-38</v>
      </c>
      <c r="O11" s="32">
        <f t="shared" ca="1" si="23"/>
        <v>-38</v>
      </c>
      <c r="P11" s="32">
        <f t="shared" ca="1" si="23"/>
        <v>-38</v>
      </c>
      <c r="Q11" s="32">
        <f t="shared" ca="1" si="23"/>
        <v>-38</v>
      </c>
      <c r="R11" s="32" t="str">
        <f t="shared" ca="1" si="23"/>
        <v/>
      </c>
      <c r="S11" s="32" t="str">
        <f t="shared" ca="1" si="23"/>
        <v/>
      </c>
      <c r="T11" s="195"/>
      <c r="U11" s="33">
        <f t="shared" ref="U11:X11" ca="1" si="24">COUNTIF(L11, "&lt;30")</f>
        <v>0</v>
      </c>
      <c r="V11" s="33">
        <f t="shared" ca="1" si="24"/>
        <v>0</v>
      </c>
      <c r="W11" s="33">
        <f t="shared" ca="1" si="24"/>
        <v>1</v>
      </c>
      <c r="X11" s="33">
        <f t="shared" ca="1" si="24"/>
        <v>1</v>
      </c>
      <c r="Y11" s="33">
        <f t="shared" ref="Y11:AA11" ca="1" si="25">COUNTIF(Q11, "&lt;30")</f>
        <v>1</v>
      </c>
      <c r="Z11" s="33">
        <f t="shared" ca="1" si="25"/>
        <v>0</v>
      </c>
      <c r="AA11" s="33">
        <f t="shared" ca="1" si="25"/>
        <v>0</v>
      </c>
      <c r="AB11" s="34">
        <f t="shared" ca="1" si="3"/>
        <v>3</v>
      </c>
    </row>
    <row r="12" spans="1:32" ht="15.75" customHeight="1">
      <c r="A12" s="3">
        <f t="shared" si="4"/>
        <v>9</v>
      </c>
      <c r="B12" s="25" t="s">
        <v>52</v>
      </c>
      <c r="C12" s="27" t="s">
        <v>39</v>
      </c>
      <c r="D12" s="28"/>
      <c r="E12" s="28"/>
      <c r="F12" s="31">
        <v>46259</v>
      </c>
      <c r="G12" s="31">
        <v>46259</v>
      </c>
      <c r="H12" s="31">
        <v>46259</v>
      </c>
      <c r="I12" s="31">
        <v>46259</v>
      </c>
      <c r="J12" s="31"/>
      <c r="K12" s="31"/>
      <c r="L12" s="32" t="str">
        <f t="shared" ref="L12:S12" ca="1" si="26">IF(OR($AD$1="",D12=""),"",D12-$AD$1)</f>
        <v/>
      </c>
      <c r="M12" s="32" t="str">
        <f t="shared" ca="1" si="26"/>
        <v/>
      </c>
      <c r="N12" s="32">
        <f t="shared" ca="1" si="26"/>
        <v>-38</v>
      </c>
      <c r="O12" s="32">
        <f t="shared" ca="1" si="26"/>
        <v>-38</v>
      </c>
      <c r="P12" s="32">
        <f t="shared" ca="1" si="26"/>
        <v>-38</v>
      </c>
      <c r="Q12" s="32">
        <f t="shared" ca="1" si="26"/>
        <v>-38</v>
      </c>
      <c r="R12" s="32" t="str">
        <f t="shared" ca="1" si="26"/>
        <v/>
      </c>
      <c r="S12" s="32" t="str">
        <f t="shared" ca="1" si="26"/>
        <v/>
      </c>
      <c r="T12" s="195"/>
      <c r="U12" s="33">
        <f t="shared" ref="U12:X12" ca="1" si="27">COUNTIF(L12, "&lt;30")</f>
        <v>0</v>
      </c>
      <c r="V12" s="33">
        <f t="shared" ca="1" si="27"/>
        <v>0</v>
      </c>
      <c r="W12" s="33">
        <f t="shared" ca="1" si="27"/>
        <v>1</v>
      </c>
      <c r="X12" s="33">
        <f t="shared" ca="1" si="27"/>
        <v>1</v>
      </c>
      <c r="Y12" s="33">
        <f t="shared" ref="Y12:AA12" ca="1" si="28">COUNTIF(Q12, "&lt;30")</f>
        <v>1</v>
      </c>
      <c r="Z12" s="33">
        <f t="shared" ca="1" si="28"/>
        <v>0</v>
      </c>
      <c r="AA12" s="33">
        <f t="shared" ca="1" si="28"/>
        <v>0</v>
      </c>
      <c r="AB12" s="34">
        <f t="shared" ca="1" si="3"/>
        <v>3</v>
      </c>
    </row>
    <row r="13" spans="1:32" ht="15.75" customHeight="1">
      <c r="A13" s="3">
        <f t="shared" si="4"/>
        <v>10</v>
      </c>
      <c r="B13" s="25" t="s">
        <v>55</v>
      </c>
      <c r="C13" s="27" t="s">
        <v>39</v>
      </c>
      <c r="D13" s="28"/>
      <c r="E13" s="28"/>
      <c r="F13" s="31">
        <v>46259</v>
      </c>
      <c r="G13" s="31">
        <v>46259</v>
      </c>
      <c r="H13" s="31">
        <v>46259</v>
      </c>
      <c r="I13" s="31">
        <v>46259</v>
      </c>
      <c r="J13" s="31"/>
      <c r="K13" s="31"/>
      <c r="L13" s="32" t="str">
        <f t="shared" ref="L13:S13" ca="1" si="29">IF(OR($AD$1="",D13=""),"",D13-$AD$1)</f>
        <v/>
      </c>
      <c r="M13" s="32" t="str">
        <f t="shared" ca="1" si="29"/>
        <v/>
      </c>
      <c r="N13" s="32">
        <f t="shared" ca="1" si="29"/>
        <v>-38</v>
      </c>
      <c r="O13" s="32">
        <f t="shared" ca="1" si="29"/>
        <v>-38</v>
      </c>
      <c r="P13" s="32">
        <f t="shared" ca="1" si="29"/>
        <v>-38</v>
      </c>
      <c r="Q13" s="32">
        <f t="shared" ca="1" si="29"/>
        <v>-38</v>
      </c>
      <c r="R13" s="32" t="str">
        <f t="shared" ca="1" si="29"/>
        <v/>
      </c>
      <c r="S13" s="32" t="str">
        <f t="shared" ca="1" si="29"/>
        <v/>
      </c>
      <c r="T13" s="195"/>
      <c r="U13" s="33">
        <f t="shared" ref="U13:X13" ca="1" si="30">COUNTIF(L13, "&lt;30")</f>
        <v>0</v>
      </c>
      <c r="V13" s="33">
        <f t="shared" ca="1" si="30"/>
        <v>0</v>
      </c>
      <c r="W13" s="33">
        <f t="shared" ca="1" si="30"/>
        <v>1</v>
      </c>
      <c r="X13" s="33">
        <f t="shared" ca="1" si="30"/>
        <v>1</v>
      </c>
      <c r="Y13" s="33">
        <f t="shared" ref="Y13:AA13" ca="1" si="31">COUNTIF(Q13, "&lt;30")</f>
        <v>1</v>
      </c>
      <c r="Z13" s="33">
        <f t="shared" ca="1" si="31"/>
        <v>0</v>
      </c>
      <c r="AA13" s="33">
        <f t="shared" ca="1" si="31"/>
        <v>0</v>
      </c>
      <c r="AB13" s="34">
        <f t="shared" ca="1" si="3"/>
        <v>3</v>
      </c>
      <c r="AC13" s="49"/>
      <c r="AD13" s="47"/>
      <c r="AE13" s="47"/>
      <c r="AF13" s="47"/>
    </row>
    <row r="14" spans="1:32" ht="15.75" customHeight="1">
      <c r="A14" s="3">
        <f t="shared" si="4"/>
        <v>11</v>
      </c>
      <c r="B14" s="25" t="s">
        <v>57</v>
      </c>
      <c r="C14" s="27" t="s">
        <v>39</v>
      </c>
      <c r="D14" s="28"/>
      <c r="E14" s="28"/>
      <c r="F14" s="31">
        <v>46259</v>
      </c>
      <c r="G14" s="31">
        <v>46259</v>
      </c>
      <c r="H14" s="31">
        <v>46259</v>
      </c>
      <c r="I14" s="31">
        <v>46259</v>
      </c>
      <c r="J14" s="31"/>
      <c r="K14" s="31"/>
      <c r="L14" s="32" t="str">
        <f t="shared" ref="L14:S14" ca="1" si="32">IF(OR($AD$1="",D14=""),"",D14-$AD$1)</f>
        <v/>
      </c>
      <c r="M14" s="32" t="str">
        <f t="shared" ca="1" si="32"/>
        <v/>
      </c>
      <c r="N14" s="32">
        <f t="shared" ca="1" si="32"/>
        <v>-38</v>
      </c>
      <c r="O14" s="32">
        <f t="shared" ca="1" si="32"/>
        <v>-38</v>
      </c>
      <c r="P14" s="32">
        <f t="shared" ca="1" si="32"/>
        <v>-38</v>
      </c>
      <c r="Q14" s="32">
        <f t="shared" ca="1" si="32"/>
        <v>-38</v>
      </c>
      <c r="R14" s="32" t="str">
        <f t="shared" ca="1" si="32"/>
        <v/>
      </c>
      <c r="S14" s="32" t="str">
        <f t="shared" ca="1" si="32"/>
        <v/>
      </c>
      <c r="T14" s="195"/>
      <c r="U14" s="33">
        <f t="shared" ref="U14:X14" ca="1" si="33">COUNTIF(L14, "&lt;30")</f>
        <v>0</v>
      </c>
      <c r="V14" s="33">
        <f t="shared" ca="1" si="33"/>
        <v>0</v>
      </c>
      <c r="W14" s="33">
        <f t="shared" ca="1" si="33"/>
        <v>1</v>
      </c>
      <c r="X14" s="33">
        <f t="shared" ca="1" si="33"/>
        <v>1</v>
      </c>
      <c r="Y14" s="33">
        <f t="shared" ref="Y14:AA14" ca="1" si="34">COUNTIF(Q14, "&lt;30")</f>
        <v>1</v>
      </c>
      <c r="Z14" s="33">
        <f t="shared" ca="1" si="34"/>
        <v>0</v>
      </c>
      <c r="AA14" s="33">
        <f t="shared" ca="1" si="34"/>
        <v>0</v>
      </c>
      <c r="AB14" s="34">
        <f t="shared" ca="1" si="3"/>
        <v>3</v>
      </c>
      <c r="AC14" s="52"/>
      <c r="AD14" s="47"/>
      <c r="AE14" s="47"/>
      <c r="AF14" s="47"/>
    </row>
    <row r="15" spans="1:32" ht="15.75" customHeight="1">
      <c r="A15" s="3">
        <f t="shared" si="4"/>
        <v>12</v>
      </c>
      <c r="B15" s="25" t="s">
        <v>59</v>
      </c>
      <c r="C15" s="27" t="s">
        <v>39</v>
      </c>
      <c r="D15" s="28"/>
      <c r="E15" s="28"/>
      <c r="F15" s="31">
        <v>46259</v>
      </c>
      <c r="G15" s="31">
        <v>46259</v>
      </c>
      <c r="H15" s="31">
        <v>46259</v>
      </c>
      <c r="I15" s="31">
        <v>46259</v>
      </c>
      <c r="J15" s="31"/>
      <c r="K15" s="31"/>
      <c r="L15" s="32" t="str">
        <f t="shared" ref="L15:S15" ca="1" si="35">IF(OR($AD$1="",D15=""),"",D15-$AD$1)</f>
        <v/>
      </c>
      <c r="M15" s="32" t="str">
        <f t="shared" ca="1" si="35"/>
        <v/>
      </c>
      <c r="N15" s="32">
        <f t="shared" ca="1" si="35"/>
        <v>-38</v>
      </c>
      <c r="O15" s="32">
        <f t="shared" ca="1" si="35"/>
        <v>-38</v>
      </c>
      <c r="P15" s="32">
        <f t="shared" ca="1" si="35"/>
        <v>-38</v>
      </c>
      <c r="Q15" s="32">
        <f t="shared" ca="1" si="35"/>
        <v>-38</v>
      </c>
      <c r="R15" s="32" t="str">
        <f t="shared" ca="1" si="35"/>
        <v/>
      </c>
      <c r="S15" s="32" t="str">
        <f t="shared" ca="1" si="35"/>
        <v/>
      </c>
      <c r="T15" s="195"/>
      <c r="U15" s="33">
        <f t="shared" ref="U15:X15" ca="1" si="36">COUNTIF(L15, "&lt;30")</f>
        <v>0</v>
      </c>
      <c r="V15" s="33">
        <f t="shared" ca="1" si="36"/>
        <v>0</v>
      </c>
      <c r="W15" s="33">
        <f t="shared" ca="1" si="36"/>
        <v>1</v>
      </c>
      <c r="X15" s="33">
        <f t="shared" ca="1" si="36"/>
        <v>1</v>
      </c>
      <c r="Y15" s="33">
        <f t="shared" ref="Y15:AA15" ca="1" si="37">COUNTIF(Q15, "&lt;30")</f>
        <v>1</v>
      </c>
      <c r="Z15" s="33">
        <f t="shared" ca="1" si="37"/>
        <v>0</v>
      </c>
      <c r="AA15" s="33">
        <f t="shared" ca="1" si="37"/>
        <v>0</v>
      </c>
      <c r="AB15" s="34">
        <f t="shared" ca="1" si="3"/>
        <v>3</v>
      </c>
      <c r="AC15" s="52"/>
      <c r="AD15" s="47"/>
      <c r="AE15" s="47"/>
      <c r="AF15" s="47"/>
    </row>
    <row r="16" spans="1:32" ht="15.75" customHeight="1">
      <c r="A16" s="3">
        <f t="shared" si="4"/>
        <v>13</v>
      </c>
      <c r="B16" s="25" t="s">
        <v>62</v>
      </c>
      <c r="C16" s="27" t="s">
        <v>39</v>
      </c>
      <c r="D16" s="28"/>
      <c r="E16" s="28"/>
      <c r="F16" s="31">
        <v>46259</v>
      </c>
      <c r="G16" s="31">
        <v>46259</v>
      </c>
      <c r="H16" s="31">
        <v>46259</v>
      </c>
      <c r="I16" s="31">
        <v>46259</v>
      </c>
      <c r="J16" s="31"/>
      <c r="K16" s="31"/>
      <c r="L16" s="32" t="str">
        <f t="shared" ref="L16:S16" ca="1" si="38">IF(OR($AD$1="",D16=""),"",D16-$AD$1)</f>
        <v/>
      </c>
      <c r="M16" s="32" t="str">
        <f t="shared" ca="1" si="38"/>
        <v/>
      </c>
      <c r="N16" s="32">
        <f t="shared" ca="1" si="38"/>
        <v>-38</v>
      </c>
      <c r="O16" s="32">
        <f t="shared" ca="1" si="38"/>
        <v>-38</v>
      </c>
      <c r="P16" s="32">
        <f t="shared" ca="1" si="38"/>
        <v>-38</v>
      </c>
      <c r="Q16" s="32">
        <f t="shared" ca="1" si="38"/>
        <v>-38</v>
      </c>
      <c r="R16" s="32" t="str">
        <f t="shared" ca="1" si="38"/>
        <v/>
      </c>
      <c r="S16" s="32" t="str">
        <f t="shared" ca="1" si="38"/>
        <v/>
      </c>
      <c r="T16" s="195"/>
      <c r="U16" s="33">
        <f t="shared" ref="U16:X16" ca="1" si="39">COUNTIF(L16, "&lt;30")</f>
        <v>0</v>
      </c>
      <c r="V16" s="33">
        <f t="shared" ca="1" si="39"/>
        <v>0</v>
      </c>
      <c r="W16" s="33">
        <f t="shared" ca="1" si="39"/>
        <v>1</v>
      </c>
      <c r="X16" s="33">
        <f t="shared" ca="1" si="39"/>
        <v>1</v>
      </c>
      <c r="Y16" s="33">
        <f t="shared" ref="Y16:AA16" ca="1" si="40">COUNTIF(Q16, "&lt;30")</f>
        <v>1</v>
      </c>
      <c r="Z16" s="33">
        <f t="shared" ca="1" si="40"/>
        <v>0</v>
      </c>
      <c r="AA16" s="33">
        <f t="shared" ca="1" si="40"/>
        <v>0</v>
      </c>
      <c r="AB16" s="34">
        <f t="shared" ca="1" si="3"/>
        <v>3</v>
      </c>
      <c r="AC16" s="52"/>
      <c r="AD16" s="47"/>
      <c r="AE16" s="47"/>
      <c r="AF16" s="47"/>
    </row>
    <row r="17" spans="1:32" ht="15.75" customHeight="1">
      <c r="A17" s="3">
        <f t="shared" si="4"/>
        <v>14</v>
      </c>
      <c r="B17" s="25" t="s">
        <v>64</v>
      </c>
      <c r="C17" s="27" t="s">
        <v>39</v>
      </c>
      <c r="D17" s="28"/>
      <c r="E17" s="28"/>
      <c r="F17" s="31">
        <v>46259</v>
      </c>
      <c r="G17" s="31">
        <v>46259</v>
      </c>
      <c r="H17" s="31">
        <v>46259</v>
      </c>
      <c r="I17" s="31">
        <v>46259</v>
      </c>
      <c r="J17" s="31"/>
      <c r="K17" s="31"/>
      <c r="L17" s="32" t="str">
        <f t="shared" ref="L17:S17" ca="1" si="41">IF(OR($AD$1="",D17=""),"",D17-$AD$1)</f>
        <v/>
      </c>
      <c r="M17" s="32" t="str">
        <f t="shared" ca="1" si="41"/>
        <v/>
      </c>
      <c r="N17" s="32">
        <f t="shared" ca="1" si="41"/>
        <v>-38</v>
      </c>
      <c r="O17" s="32">
        <f t="shared" ca="1" si="41"/>
        <v>-38</v>
      </c>
      <c r="P17" s="32">
        <f t="shared" ca="1" si="41"/>
        <v>-38</v>
      </c>
      <c r="Q17" s="32">
        <f t="shared" ca="1" si="41"/>
        <v>-38</v>
      </c>
      <c r="R17" s="32" t="str">
        <f t="shared" ca="1" si="41"/>
        <v/>
      </c>
      <c r="S17" s="32" t="str">
        <f t="shared" ca="1" si="41"/>
        <v/>
      </c>
      <c r="T17" s="195"/>
      <c r="U17" s="33">
        <f t="shared" ref="U17:X17" ca="1" si="42">COUNTIF(L17, "&lt;30")</f>
        <v>0</v>
      </c>
      <c r="V17" s="33">
        <f t="shared" ca="1" si="42"/>
        <v>0</v>
      </c>
      <c r="W17" s="33">
        <f t="shared" ca="1" si="42"/>
        <v>1</v>
      </c>
      <c r="X17" s="33">
        <f t="shared" ca="1" si="42"/>
        <v>1</v>
      </c>
      <c r="Y17" s="33">
        <f t="shared" ref="Y17:AA17" ca="1" si="43">COUNTIF(Q17, "&lt;30")</f>
        <v>1</v>
      </c>
      <c r="Z17" s="33">
        <f t="shared" ca="1" si="43"/>
        <v>0</v>
      </c>
      <c r="AA17" s="33">
        <f t="shared" ca="1" si="43"/>
        <v>0</v>
      </c>
      <c r="AB17" s="34">
        <f t="shared" ca="1" si="3"/>
        <v>3</v>
      </c>
      <c r="AC17" s="53"/>
      <c r="AD17" s="47"/>
      <c r="AE17" s="47"/>
      <c r="AF17" s="47"/>
    </row>
    <row r="18" spans="1:32" ht="15.75" customHeight="1">
      <c r="A18" s="3">
        <f t="shared" si="4"/>
        <v>15</v>
      </c>
      <c r="B18" s="25" t="s">
        <v>66</v>
      </c>
      <c r="C18" s="27" t="s">
        <v>61</v>
      </c>
      <c r="D18" s="31"/>
      <c r="E18" s="31"/>
      <c r="F18" s="31"/>
      <c r="G18" s="31"/>
      <c r="H18" s="59">
        <v>46081</v>
      </c>
      <c r="I18" s="59">
        <v>46081</v>
      </c>
      <c r="J18" s="59">
        <v>46081</v>
      </c>
      <c r="K18" s="59">
        <v>46081</v>
      </c>
      <c r="L18" s="60"/>
      <c r="M18" s="60"/>
      <c r="N18" s="32" t="str">
        <f t="shared" ref="N18:S18" ca="1" si="44">IF(OR($AD$1="",F18=""),"",F18-$AD$1)</f>
        <v/>
      </c>
      <c r="O18" s="32" t="str">
        <f t="shared" ca="1" si="44"/>
        <v/>
      </c>
      <c r="P18" s="32">
        <f t="shared" ca="1" si="44"/>
        <v>-216</v>
      </c>
      <c r="Q18" s="32">
        <f t="shared" ca="1" si="44"/>
        <v>-216</v>
      </c>
      <c r="R18" s="32">
        <f t="shared" ca="1" si="44"/>
        <v>-216</v>
      </c>
      <c r="S18" s="32">
        <f t="shared" ca="1" si="44"/>
        <v>-216</v>
      </c>
      <c r="T18" s="195"/>
      <c r="U18" s="33">
        <f t="shared" ref="U18:X18" si="45">COUNTIF(L18, "&lt;30")</f>
        <v>0</v>
      </c>
      <c r="V18" s="33">
        <f t="shared" si="45"/>
        <v>0</v>
      </c>
      <c r="W18" s="33">
        <f t="shared" ca="1" si="45"/>
        <v>0</v>
      </c>
      <c r="X18" s="33">
        <f t="shared" ca="1" si="45"/>
        <v>0</v>
      </c>
      <c r="Y18" s="33">
        <f t="shared" ref="Y18:AA18" ca="1" si="46">COUNTIF(Q18, "&lt;30")</f>
        <v>1</v>
      </c>
      <c r="Z18" s="33">
        <f t="shared" ca="1" si="46"/>
        <v>1</v>
      </c>
      <c r="AA18" s="33">
        <f t="shared" ca="1" si="46"/>
        <v>1</v>
      </c>
      <c r="AB18" s="34">
        <f t="shared" ca="1" si="3"/>
        <v>3</v>
      </c>
      <c r="AC18" s="52"/>
      <c r="AD18" s="47"/>
      <c r="AE18" s="47"/>
      <c r="AF18" s="47"/>
    </row>
    <row r="19" spans="1:32" ht="15.75" customHeight="1">
      <c r="A19" s="3">
        <f t="shared" si="4"/>
        <v>16</v>
      </c>
      <c r="B19" s="61" t="s">
        <v>69</v>
      </c>
      <c r="C19" s="62" t="s">
        <v>70</v>
      </c>
      <c r="D19" s="31"/>
      <c r="E19" s="28"/>
      <c r="F19" s="28">
        <v>46292</v>
      </c>
      <c r="G19" s="28"/>
      <c r="H19" s="28">
        <v>46292</v>
      </c>
      <c r="I19" s="28">
        <v>46292</v>
      </c>
      <c r="J19" s="28">
        <v>46292</v>
      </c>
      <c r="K19" s="28"/>
      <c r="L19" s="32"/>
      <c r="M19" s="32" t="str">
        <f t="shared" ref="M19:S19" ca="1" si="47">IF(OR($AD$1="",E19=""),"",E19-$AD$1)</f>
        <v/>
      </c>
      <c r="N19" s="32">
        <f t="shared" ca="1" si="47"/>
        <v>-5</v>
      </c>
      <c r="O19" s="32" t="str">
        <f t="shared" ca="1" si="47"/>
        <v/>
      </c>
      <c r="P19" s="32">
        <f t="shared" ca="1" si="47"/>
        <v>-5</v>
      </c>
      <c r="Q19" s="32">
        <f t="shared" ca="1" si="47"/>
        <v>-5</v>
      </c>
      <c r="R19" s="32">
        <f t="shared" ca="1" si="47"/>
        <v>-5</v>
      </c>
      <c r="S19" s="32" t="str">
        <f t="shared" ca="1" si="47"/>
        <v/>
      </c>
      <c r="T19" s="195"/>
      <c r="U19" s="33">
        <f t="shared" ref="U19:X19" si="48">COUNTIF(L19, "&lt;30")</f>
        <v>0</v>
      </c>
      <c r="V19" s="33">
        <f t="shared" ca="1" si="48"/>
        <v>0</v>
      </c>
      <c r="W19" s="33">
        <f t="shared" ca="1" si="48"/>
        <v>1</v>
      </c>
      <c r="X19" s="33">
        <f t="shared" ca="1" si="48"/>
        <v>0</v>
      </c>
      <c r="Y19" s="33">
        <f t="shared" ref="Y19:AA19" ca="1" si="49">COUNTIF(Q19, "&lt;30")</f>
        <v>1</v>
      </c>
      <c r="Z19" s="33">
        <f t="shared" ca="1" si="49"/>
        <v>1</v>
      </c>
      <c r="AA19" s="33">
        <f t="shared" ca="1" si="49"/>
        <v>0</v>
      </c>
      <c r="AB19" s="34">
        <f t="shared" ca="1" si="3"/>
        <v>3</v>
      </c>
      <c r="AC19" s="52"/>
      <c r="AD19" s="47"/>
      <c r="AE19" s="47"/>
      <c r="AF19" s="47"/>
    </row>
    <row r="20" spans="1:32" ht="15.75" customHeight="1">
      <c r="A20" s="3">
        <f t="shared" si="4"/>
        <v>17</v>
      </c>
      <c r="B20" s="61" t="s">
        <v>73</v>
      </c>
      <c r="C20" s="62" t="s">
        <v>70</v>
      </c>
      <c r="D20" s="31"/>
      <c r="E20" s="65"/>
      <c r="F20" s="28">
        <v>46292</v>
      </c>
      <c r="G20" s="28"/>
      <c r="H20" s="28">
        <v>46292</v>
      </c>
      <c r="I20" s="28">
        <v>46292</v>
      </c>
      <c r="J20" s="31"/>
      <c r="K20" s="28">
        <v>46292</v>
      </c>
      <c r="L20" s="32" t="str">
        <f t="shared" ref="L20:S20" ca="1" si="50">IF(OR($AD$1="",D20=""),"",D20-$AD$1)</f>
        <v/>
      </c>
      <c r="M20" s="32" t="str">
        <f t="shared" ca="1" si="50"/>
        <v/>
      </c>
      <c r="N20" s="32">
        <f t="shared" ca="1" si="50"/>
        <v>-5</v>
      </c>
      <c r="O20" s="32" t="str">
        <f t="shared" ca="1" si="50"/>
        <v/>
      </c>
      <c r="P20" s="32">
        <f t="shared" ca="1" si="50"/>
        <v>-5</v>
      </c>
      <c r="Q20" s="32">
        <f t="shared" ca="1" si="50"/>
        <v>-5</v>
      </c>
      <c r="R20" s="32" t="str">
        <f t="shared" ca="1" si="50"/>
        <v/>
      </c>
      <c r="S20" s="32">
        <f t="shared" ca="1" si="50"/>
        <v>-5</v>
      </c>
      <c r="T20" s="195"/>
      <c r="U20" s="33">
        <f t="shared" ref="U20:X20" ca="1" si="51">COUNTIF(L20, "&lt;30")</f>
        <v>0</v>
      </c>
      <c r="V20" s="33">
        <f t="shared" ca="1" si="51"/>
        <v>0</v>
      </c>
      <c r="W20" s="33">
        <f t="shared" ca="1" si="51"/>
        <v>1</v>
      </c>
      <c r="X20" s="33">
        <f t="shared" ca="1" si="51"/>
        <v>0</v>
      </c>
      <c r="Y20" s="33">
        <f t="shared" ref="Y20:AA20" ca="1" si="52">COUNTIF(Q20, "&lt;30")</f>
        <v>1</v>
      </c>
      <c r="Z20" s="33">
        <f t="shared" ca="1" si="52"/>
        <v>0</v>
      </c>
      <c r="AA20" s="33">
        <f t="shared" ca="1" si="52"/>
        <v>1</v>
      </c>
      <c r="AB20" s="34">
        <f t="shared" ca="1" si="3"/>
        <v>3</v>
      </c>
      <c r="AC20" s="52"/>
      <c r="AD20" s="47"/>
      <c r="AE20" s="47"/>
      <c r="AF20" s="47"/>
    </row>
    <row r="21" spans="1:32" ht="15.75" customHeight="1">
      <c r="A21" s="3"/>
      <c r="B21" s="67" t="s">
        <v>74</v>
      </c>
      <c r="C21" s="62" t="s">
        <v>70</v>
      </c>
      <c r="D21" s="31"/>
      <c r="E21" s="65"/>
      <c r="F21" s="28"/>
      <c r="G21" s="28"/>
      <c r="H21" s="28"/>
      <c r="I21" s="28"/>
      <c r="J21" s="31"/>
      <c r="K21" s="28"/>
      <c r="L21" s="32"/>
      <c r="M21" s="32"/>
      <c r="N21" s="32"/>
      <c r="O21" s="32"/>
      <c r="P21" s="32"/>
      <c r="Q21" s="32"/>
      <c r="R21" s="32"/>
      <c r="S21" s="32"/>
      <c r="T21" s="195"/>
      <c r="U21" s="33"/>
      <c r="V21" s="33"/>
      <c r="W21" s="33"/>
      <c r="X21" s="33"/>
      <c r="Y21" s="33"/>
      <c r="Z21" s="33"/>
      <c r="AA21" s="33"/>
      <c r="AB21" s="34"/>
      <c r="AC21" s="52"/>
      <c r="AD21" s="47"/>
      <c r="AE21" s="47"/>
      <c r="AF21" s="47"/>
    </row>
    <row r="22" spans="1:32" ht="15.75" customHeight="1">
      <c r="A22" s="3">
        <f>A20+1</f>
        <v>18</v>
      </c>
      <c r="B22" s="68" t="s">
        <v>75</v>
      </c>
      <c r="C22" s="62" t="s">
        <v>70</v>
      </c>
      <c r="D22" s="31"/>
      <c r="E22" s="28"/>
      <c r="F22" s="31"/>
      <c r="G22" s="48">
        <v>46111</v>
      </c>
      <c r="H22" s="28"/>
      <c r="I22" s="28"/>
      <c r="J22" s="31"/>
      <c r="K22" s="48">
        <v>46111</v>
      </c>
      <c r="L22" s="32" t="str">
        <f t="shared" ref="L22:S22" ca="1" si="53">IF(OR($AD$1="",D22=""),"",D22-$AD$1)</f>
        <v/>
      </c>
      <c r="M22" s="32" t="str">
        <f t="shared" ca="1" si="53"/>
        <v/>
      </c>
      <c r="N22" s="32" t="str">
        <f t="shared" ca="1" si="53"/>
        <v/>
      </c>
      <c r="O22" s="32">
        <f t="shared" ca="1" si="53"/>
        <v>-186</v>
      </c>
      <c r="P22" s="32" t="str">
        <f t="shared" ca="1" si="53"/>
        <v/>
      </c>
      <c r="Q22" s="32" t="str">
        <f t="shared" ca="1" si="53"/>
        <v/>
      </c>
      <c r="R22" s="32" t="str">
        <f t="shared" ca="1" si="53"/>
        <v/>
      </c>
      <c r="S22" s="32">
        <f t="shared" ca="1" si="53"/>
        <v>-186</v>
      </c>
      <c r="T22" s="182"/>
      <c r="U22" s="33">
        <f t="shared" ref="U22:X22" ca="1" si="54">COUNTIF(L22, "&lt;30")</f>
        <v>0</v>
      </c>
      <c r="V22" s="33">
        <f t="shared" ca="1" si="54"/>
        <v>0</v>
      </c>
      <c r="W22" s="33">
        <f t="shared" ca="1" si="54"/>
        <v>0</v>
      </c>
      <c r="X22" s="33">
        <f t="shared" ca="1" si="54"/>
        <v>1</v>
      </c>
      <c r="Y22" s="33">
        <f t="shared" ref="Y22:AA22" ca="1" si="55">COUNTIF(Q22, "&lt;30")</f>
        <v>0</v>
      </c>
      <c r="Z22" s="33">
        <f t="shared" ca="1" si="55"/>
        <v>0</v>
      </c>
      <c r="AA22" s="33">
        <f t="shared" ca="1" si="55"/>
        <v>1</v>
      </c>
      <c r="AB22" s="34">
        <f t="shared" ref="AB22:AB24" ca="1" si="56">COUNTIF(U22:AA22, "&gt;0")</f>
        <v>2</v>
      </c>
      <c r="AC22" s="58"/>
      <c r="AD22" s="47"/>
      <c r="AE22" s="47"/>
      <c r="AF22" s="47"/>
    </row>
    <row r="23" spans="1:32" ht="15.75" customHeight="1">
      <c r="A23" s="3">
        <f t="shared" ref="A23:A24" si="57">A22+1</f>
        <v>19</v>
      </c>
      <c r="B23" s="69" t="s">
        <v>77</v>
      </c>
      <c r="C23" s="62" t="s">
        <v>70</v>
      </c>
      <c r="D23" s="65"/>
      <c r="E23" s="65"/>
      <c r="F23" s="28">
        <v>46292</v>
      </c>
      <c r="G23" s="28">
        <v>46292</v>
      </c>
      <c r="H23" s="28">
        <v>46292</v>
      </c>
      <c r="I23" s="28">
        <v>46292</v>
      </c>
      <c r="J23" s="31"/>
      <c r="K23" s="31"/>
      <c r="L23" s="32" t="str">
        <f t="shared" ref="L23:S23" ca="1" si="58">IF(OR($AD$1="",D23=""),"",D23-$AD$1)</f>
        <v/>
      </c>
      <c r="M23" s="32" t="str">
        <f t="shared" ca="1" si="58"/>
        <v/>
      </c>
      <c r="N23" s="32">
        <f t="shared" ca="1" si="58"/>
        <v>-5</v>
      </c>
      <c r="O23" s="32">
        <f t="shared" ca="1" si="58"/>
        <v>-5</v>
      </c>
      <c r="P23" s="32">
        <f t="shared" ca="1" si="58"/>
        <v>-5</v>
      </c>
      <c r="Q23" s="32">
        <f t="shared" ca="1" si="58"/>
        <v>-5</v>
      </c>
      <c r="R23" s="32" t="str">
        <f t="shared" ca="1" si="58"/>
        <v/>
      </c>
      <c r="S23" s="32" t="str">
        <f t="shared" ca="1" si="58"/>
        <v/>
      </c>
      <c r="U23" s="33">
        <f t="shared" ref="U23:X23" ca="1" si="59">COUNTIF(L23, "&lt;30")</f>
        <v>0</v>
      </c>
      <c r="V23" s="33">
        <f t="shared" ca="1" si="59"/>
        <v>0</v>
      </c>
      <c r="W23" s="33">
        <f t="shared" ca="1" si="59"/>
        <v>1</v>
      </c>
      <c r="X23" s="33">
        <f t="shared" ca="1" si="59"/>
        <v>1</v>
      </c>
      <c r="Y23" s="33">
        <f t="shared" ref="Y23:AA23" ca="1" si="60">COUNTIF(Q23, "&lt;30")</f>
        <v>1</v>
      </c>
      <c r="Z23" s="33">
        <f t="shared" ca="1" si="60"/>
        <v>0</v>
      </c>
      <c r="AA23" s="33">
        <f t="shared" ca="1" si="60"/>
        <v>0</v>
      </c>
      <c r="AB23" s="34">
        <f t="shared" ca="1" si="56"/>
        <v>3</v>
      </c>
    </row>
    <row r="24" spans="1:32" ht="15.75" customHeight="1">
      <c r="A24" s="3">
        <f t="shared" si="57"/>
        <v>20</v>
      </c>
      <c r="B24" s="69" t="s">
        <v>74</v>
      </c>
      <c r="C24" s="62" t="s">
        <v>70</v>
      </c>
      <c r="D24" s="31"/>
      <c r="E24" s="65"/>
      <c r="F24" s="28">
        <v>46292</v>
      </c>
      <c r="G24" s="28"/>
      <c r="H24" s="28">
        <v>46292</v>
      </c>
      <c r="I24" s="28">
        <v>46292</v>
      </c>
      <c r="J24" s="31"/>
      <c r="K24" s="28">
        <v>46292</v>
      </c>
      <c r="L24" s="32" t="str">
        <f t="shared" ref="L24:S24" ca="1" si="61">IF(OR($AD$1="",D24=""),"",D24-$AD$1)</f>
        <v/>
      </c>
      <c r="M24" s="32" t="str">
        <f t="shared" ca="1" si="61"/>
        <v/>
      </c>
      <c r="N24" s="32">
        <f t="shared" ca="1" si="61"/>
        <v>-5</v>
      </c>
      <c r="O24" s="32" t="str">
        <f t="shared" ca="1" si="61"/>
        <v/>
      </c>
      <c r="P24" s="32">
        <f t="shared" ca="1" si="61"/>
        <v>-5</v>
      </c>
      <c r="Q24" s="32">
        <f t="shared" ca="1" si="61"/>
        <v>-5</v>
      </c>
      <c r="R24" s="32" t="str">
        <f t="shared" ca="1" si="61"/>
        <v/>
      </c>
      <c r="S24" s="32">
        <f t="shared" ca="1" si="61"/>
        <v>-5</v>
      </c>
      <c r="U24" s="33">
        <f t="shared" ref="U24:X24" ca="1" si="62">COUNTIF(L24, "&lt;30")</f>
        <v>0</v>
      </c>
      <c r="V24" s="33">
        <f t="shared" ca="1" si="62"/>
        <v>0</v>
      </c>
      <c r="W24" s="33">
        <f t="shared" ca="1" si="62"/>
        <v>1</v>
      </c>
      <c r="X24" s="33">
        <f t="shared" ca="1" si="62"/>
        <v>0</v>
      </c>
      <c r="Y24" s="33">
        <f t="shared" ref="Y24:AA24" ca="1" si="63">COUNTIF(Q24, "&lt;30")</f>
        <v>1</v>
      </c>
      <c r="Z24" s="33">
        <f t="shared" ca="1" si="63"/>
        <v>0</v>
      </c>
      <c r="AA24" s="33">
        <f t="shared" ca="1" si="63"/>
        <v>1</v>
      </c>
      <c r="AB24" s="34">
        <f t="shared" ca="1" si="56"/>
        <v>3</v>
      </c>
    </row>
    <row r="25" spans="1:32">
      <c r="L25" s="210">
        <f ca="1">SUM(L24:M24)</f>
        <v>0</v>
      </c>
      <c r="M25" s="187"/>
      <c r="N25" s="33"/>
      <c r="O25" s="33"/>
      <c r="P25" s="33"/>
      <c r="Q25" s="33"/>
      <c r="R25" s="33"/>
      <c r="S25" s="33"/>
    </row>
    <row r="27" spans="1:32">
      <c r="A27" s="70"/>
      <c r="B27" s="71" t="s">
        <v>82</v>
      </c>
    </row>
    <row r="28" spans="1:32">
      <c r="A28" s="72"/>
      <c r="B28" s="71" t="s">
        <v>83</v>
      </c>
    </row>
    <row r="29" spans="1:32">
      <c r="A29" s="73"/>
      <c r="B29" s="71" t="s">
        <v>85</v>
      </c>
    </row>
    <row r="30" spans="1:32">
      <c r="A30" s="74"/>
      <c r="B30" s="71" t="s">
        <v>86</v>
      </c>
    </row>
  </sheetData>
  <mergeCells count="33">
    <mergeCell ref="R2:R3"/>
    <mergeCell ref="T4:T22"/>
    <mergeCell ref="N2:N3"/>
    <mergeCell ref="L25:M25"/>
    <mergeCell ref="O2:O3"/>
    <mergeCell ref="P2:P3"/>
    <mergeCell ref="Q2:Q3"/>
    <mergeCell ref="D1:K1"/>
    <mergeCell ref="L1:S1"/>
    <mergeCell ref="U1:AB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X2:X3"/>
    <mergeCell ref="Y2:Y3"/>
    <mergeCell ref="Z2:Z3"/>
    <mergeCell ref="AA2:AA3"/>
    <mergeCell ref="AB2:AB3"/>
    <mergeCell ref="S2:S3"/>
    <mergeCell ref="T2:T3"/>
    <mergeCell ref="U2:U3"/>
    <mergeCell ref="V2:V3"/>
    <mergeCell ref="W2:W3"/>
  </mergeCells>
  <conditionalFormatting sqref="L4:S24">
    <cfRule type="colorScale" priority="1">
      <colorScale>
        <cfvo type="formula" val="30"/>
        <cfvo type="formula" val="40"/>
        <cfvo type="formula" val="50"/>
        <color rgb="FFFF0000"/>
        <color rgb="FFFFD666"/>
        <color rgb="FF00FF00"/>
      </colorScale>
    </cfRule>
  </conditionalFormatting>
  <conditionalFormatting sqref="T4:T22 U4:AA24">
    <cfRule type="colorScale" priority="2">
      <colorScale>
        <cfvo type="formula" val="0"/>
        <cfvo type="formula" val="1"/>
        <cfvo type="formula" val="1"/>
        <color rgb="FFFFFFFF"/>
        <color rgb="FFABDDC5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8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6640625" defaultRowHeight="15.75" customHeight="1"/>
  <cols>
    <col min="1" max="1" width="4.109375" customWidth="1"/>
    <col min="3" max="3" width="32.109375" customWidth="1"/>
    <col min="4" max="13" width="29.77734375" customWidth="1"/>
    <col min="14" max="18" width="15.6640625" customWidth="1"/>
  </cols>
  <sheetData>
    <row r="1" spans="1:29" ht="15.75" customHeight="1">
      <c r="A1" s="1"/>
      <c r="B1" s="1"/>
      <c r="C1" s="1"/>
      <c r="D1" s="183" t="s">
        <v>0</v>
      </c>
      <c r="E1" s="184"/>
      <c r="F1" s="184"/>
      <c r="G1" s="184"/>
      <c r="H1" s="184"/>
      <c r="I1" s="211" t="s">
        <v>4</v>
      </c>
      <c r="J1" s="184"/>
      <c r="K1" s="184"/>
      <c r="L1" s="184"/>
      <c r="M1" s="184"/>
      <c r="N1" s="185" t="s">
        <v>3</v>
      </c>
      <c r="O1" s="186"/>
      <c r="P1" s="186"/>
      <c r="Q1" s="186"/>
      <c r="R1" s="187"/>
      <c r="S1" s="8"/>
      <c r="T1" s="185" t="s">
        <v>5</v>
      </c>
      <c r="U1" s="186"/>
      <c r="V1" s="186"/>
      <c r="W1" s="186"/>
      <c r="X1" s="186"/>
      <c r="Y1" s="187"/>
      <c r="AA1" s="9">
        <f ca="1">TODAY()</f>
        <v>46297</v>
      </c>
      <c r="AB1" s="10"/>
      <c r="AC1" s="10"/>
    </row>
    <row r="2" spans="1:29">
      <c r="A2" s="209" t="s">
        <v>6</v>
      </c>
      <c r="B2" s="209" t="s">
        <v>7</v>
      </c>
      <c r="C2" s="209" t="s">
        <v>8</v>
      </c>
      <c r="D2" s="193" t="s">
        <v>9</v>
      </c>
      <c r="E2" s="193" t="s">
        <v>11</v>
      </c>
      <c r="F2" s="193" t="s">
        <v>12</v>
      </c>
      <c r="G2" s="193" t="s">
        <v>14</v>
      </c>
      <c r="H2" s="193" t="s">
        <v>17</v>
      </c>
      <c r="I2" s="212" t="s">
        <v>10</v>
      </c>
      <c r="J2" s="212" t="s">
        <v>13</v>
      </c>
      <c r="K2" s="212" t="s">
        <v>20</v>
      </c>
      <c r="L2" s="212" t="s">
        <v>21</v>
      </c>
      <c r="M2" s="212" t="s">
        <v>22</v>
      </c>
      <c r="N2" s="181" t="s">
        <v>9</v>
      </c>
      <c r="O2" s="181" t="s">
        <v>11</v>
      </c>
      <c r="P2" s="181" t="s">
        <v>12</v>
      </c>
      <c r="Q2" s="181" t="s">
        <v>14</v>
      </c>
      <c r="R2" s="181" t="s">
        <v>17</v>
      </c>
      <c r="S2" s="181"/>
      <c r="T2" s="181" t="s">
        <v>10</v>
      </c>
      <c r="U2" s="181" t="s">
        <v>13</v>
      </c>
      <c r="V2" s="181" t="s">
        <v>20</v>
      </c>
      <c r="W2" s="181" t="s">
        <v>21</v>
      </c>
      <c r="X2" s="181" t="s">
        <v>22</v>
      </c>
      <c r="Y2" s="191" t="s">
        <v>28</v>
      </c>
    </row>
    <row r="3" spans="1:29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ht="15.75" customHeight="1">
      <c r="A4" s="3">
        <v>1</v>
      </c>
      <c r="B4" s="21" t="s">
        <v>29</v>
      </c>
      <c r="C4" s="22" t="s">
        <v>31</v>
      </c>
      <c r="D4" s="29">
        <f ca="1">IFERROR(
    IF(VLOOKUP(B4,'SUMBER REKAP APAR'!F:O,2,FALSE)="",
        VLOOKUP(B4,'REKAP APAR FT MAOS'!B:J,3,FALSE),
        VLOOKUP(B4,'SUMBER REKAP APAR'!F:O,2,FALSE)
    ),
    VLOOKUP(B4,'REKAP APAR FT MAOS'!B:J,3,FALSE)
)</f>
        <v>0</v>
      </c>
      <c r="E4" s="29">
        <f ca="1">IFERROR(
    IF(VLOOKUP(B4,'SUMBER REKAP APAR'!F:O,3,FALSE)="",
        VLOOKUP(B4,'REKAP APAR FT MAOS'!B:J,4,FALSE),
        VLOOKUP(B4,'SUMBER REKAP APAR'!F:O,3,FALSE)
    ),
    VLOOKUP(B4,'REKAP APAR FT MAOS'!B:J,4,FALSE)
)</f>
        <v>0</v>
      </c>
      <c r="F4" s="29">
        <f ca="1">IFERROR(
    IF(VLOOKUP(B4,'SUMBER REKAP APAR'!F:O,4,FALSE)="",
        VLOOKUP(B4,'REKAP APAR FT MAOS'!B:J,5,FALSE),
        VLOOKUP(B4,'SUMBER REKAP APAR'!F:O,4,FALSE)
    ),
    VLOOKUP(B4,'REKAP APAR FT MAOS'!B:J,5,FALSE)
)</f>
        <v>46254</v>
      </c>
      <c r="G4" s="29">
        <f ca="1">IFERROR(
    IF(VLOOKUP(B4,'SUMBER REKAP APAR'!F:O,5,FALSE)="",
        VLOOKUP(B4,'REKAP APAR FT MAOS'!B:J,6,FALSE),
        VLOOKUP(B4,'SUMBER REKAP APAR'!F:O,5,FALSE)
    ),
    VLOOKUP(B4,'REKAP APAR FT MAOS'!B:J,6,FALSE)
)</f>
        <v>46254</v>
      </c>
      <c r="H4" s="29">
        <f ca="1">IFERROR(
    IF(VLOOKUP(B4,'SUMBER REKAP APAR'!F:O,6,FALSE)="",
        VLOOKUP(B4,'REKAP APAR FT MAOS'!B:J,7,FALSE),
        VLOOKUP(B4,'SUMBER REKAP APAR'!F:O,6,FALSE)
    ),
    VLOOKUP(B4,'REKAP APAR FT MAOS'!B:J,7,FALSE)
)</f>
        <v>0</v>
      </c>
      <c r="I4" s="29">
        <f ca="1">IFERROR(
    IF(VLOOKUP(B4,'SUMBER REKAP APAR'!F:O,7,FALSE)="",
        VLOOKUP(B4,'REKAP APAR FT MAOS'!B:J,8,FALSE),
        VLOOKUP(B4,'SUMBER REKAP APAR'!F:O,7,FALSE)
    ),
    VLOOKUP(B4,'REKAP APAR FT MAOS'!B:J,8,FALSE)
)</f>
        <v>46254</v>
      </c>
      <c r="J4" s="29">
        <f ca="1">IFERROR(
    IF(VLOOKUP(B4,'SUMBER REKAP APAR'!F:O,8,FALSE)="",
        VLOOKUP(B4,'REKAP APAR FT MAOS'!B:J,9,FALSE),
        VLOOKUP(B4,'SUMBER REKAP APAR'!F:O,8,FALSE)
    ),
    VLOOKUP(B4,'REKAP APAR FT MAOS'!B:J,9,FALSE)
)</f>
        <v>46352</v>
      </c>
      <c r="K4" s="29" t="e">
        <f ca="1">IFERROR(
    IF(VLOOKUP(B4,'SUMBER REKAP APAR'!F:O,9,FALSE)="",
        VLOOKUP(B4,'REKAP APAR FT MAOS'!B:J,10,FALSE),
        VLOOKUP(B4,'SUMBER REKAP APAR'!F:O,9,FALSE)
    ),
    VLOOKUP(B4,'REKAP APAR FT MAOS'!B:J,10,FALSE)
)</f>
        <v>#REF!</v>
      </c>
      <c r="L4" s="29" t="e">
        <f ca="1">IFERROR(
    IF(VLOOKUP(B4,'SUMBER REKAP APAR'!F:O,10,FALSE)="",
        VLOOKUP(B4,'REKAP APAR FT MAOS'!B:J,11,FALSE),
        VLOOKUP(B4,'SUMBER REKAP APAR'!F:O,10,FALSE)
    ),
    VLOOKUP(B4,'REKAP APAR FT MAOS'!B:J,11,FALSE)
)</f>
        <v>#REF!</v>
      </c>
      <c r="M4" s="29" t="e">
        <f ca="1">IFERROR(
    IF(VLOOKUP(B4,'SUMBER REKAP APAR'!F:Q,11,FALSE)="",
        VLOOKUP(B4,'REKAP APAR FT MAOS'!B:J,12,FALSE),
        VLOOKUP(B4,'SUMBER REKAP APAR'!F:Q,11,FALSE)
    ),
    VLOOKUP(B4,'REKAP APAR FT MAOS'!B:J,12,FALSE)
)</f>
        <v>#REF!</v>
      </c>
      <c r="N4" s="32">
        <f t="shared" ref="N4:R4" ca="1" si="0">IF(OR($AA$1="",D4=""),"",D4-$AA$1)</f>
        <v>-46297</v>
      </c>
      <c r="O4" s="32">
        <f t="shared" ca="1" si="0"/>
        <v>-46297</v>
      </c>
      <c r="P4" s="32">
        <f t="shared" ca="1" si="0"/>
        <v>-43</v>
      </c>
      <c r="Q4" s="32">
        <f t="shared" ca="1" si="0"/>
        <v>-43</v>
      </c>
      <c r="R4" s="32">
        <f t="shared" ca="1" si="0"/>
        <v>-46297</v>
      </c>
      <c r="S4" s="194"/>
      <c r="T4" s="33">
        <f t="shared" ref="T4:X4" ca="1" si="1">COUNTIF(N4, "&lt;30")</f>
        <v>1</v>
      </c>
      <c r="U4" s="33">
        <f t="shared" ca="1" si="1"/>
        <v>1</v>
      </c>
      <c r="V4" s="33">
        <f t="shared" ca="1" si="1"/>
        <v>1</v>
      </c>
      <c r="W4" s="33">
        <f t="shared" ca="1" si="1"/>
        <v>1</v>
      </c>
      <c r="X4" s="33">
        <f t="shared" ca="1" si="1"/>
        <v>1</v>
      </c>
      <c r="Y4" s="34">
        <f t="shared" ref="Y4:Y88" ca="1" si="2">COUNTIF(T4:X4, "&gt;0")</f>
        <v>5</v>
      </c>
    </row>
    <row r="5" spans="1:29" ht="15.75" customHeight="1">
      <c r="A5" s="3">
        <v>2</v>
      </c>
      <c r="B5" s="21" t="s">
        <v>40</v>
      </c>
      <c r="C5" s="22" t="s">
        <v>31</v>
      </c>
      <c r="D5" s="29">
        <f ca="1">IFERROR(
    IF(VLOOKUP(B5,'SUMBER REKAP APAR'!F:O,2,FALSE)="",
        VLOOKUP(B5,'REKAP APAR FT MAOS'!B:J,3,FALSE),
        VLOOKUP(B5,'SUMBER REKAP APAR'!F:O,2,FALSE)
    ),
    VLOOKUP(B5,'REKAP APAR FT MAOS'!B:J,3,FALSE)
)</f>
        <v>0</v>
      </c>
      <c r="E5" s="29">
        <f ca="1">IFERROR(
    IF(VLOOKUP(B5,'SUMBER REKAP APAR'!F:O,3,FALSE)="",
        VLOOKUP(B5,'REKAP APAR FT MAOS'!B:J,4,FALSE),
        VLOOKUP(B5,'SUMBER REKAP APAR'!F:O,3,FALSE)
    ),
    VLOOKUP(B5,'REKAP APAR FT MAOS'!B:J,4,FALSE)
)</f>
        <v>0</v>
      </c>
      <c r="F5" s="29">
        <f ca="1">IFERROR(
    IF(VLOOKUP(B5,'SUMBER REKAP APAR'!F:O,4,FALSE)="",
        VLOOKUP(B5,'REKAP APAR FT MAOS'!B:J,5,FALSE),
        VLOOKUP(B5,'SUMBER REKAP APAR'!F:O,4,FALSE)
    ),
    VLOOKUP(B5,'REKAP APAR FT MAOS'!B:J,5,FALSE)
)</f>
        <v>46352</v>
      </c>
      <c r="G5" s="29">
        <f ca="1">IFERROR(
    IF(VLOOKUP(B5,'SUMBER REKAP APAR'!F:O,5,FALSE)="",
        VLOOKUP(B5,'REKAP APAR FT MAOS'!B:J,6,FALSE),
        VLOOKUP(B5,'SUMBER REKAP APAR'!F:O,5,FALSE)
    ),
    VLOOKUP(B5,'REKAP APAR FT MAOS'!B:J,6,FALSE)
)</f>
        <v>46418</v>
      </c>
      <c r="H5" s="29">
        <f ca="1">IFERROR(
    IF(VLOOKUP(B5,'SUMBER REKAP APAR'!F:O,6,FALSE)="",
        VLOOKUP(B5,'REKAP APAR FT MAOS'!B:J,7,FALSE),
        VLOOKUP(B5,'SUMBER REKAP APAR'!F:O,6,FALSE)
    ),
    VLOOKUP(B5,'REKAP APAR FT MAOS'!B:J,7,FALSE)
)</f>
        <v>0</v>
      </c>
      <c r="I5" s="29">
        <f ca="1">IFERROR(
    IF(VLOOKUP(B5,'SUMBER REKAP APAR'!F:O,7,FALSE)="",
        VLOOKUP(B5,'REKAP APAR FT MAOS'!B:J,8,FALSE),
        VLOOKUP(B5,'SUMBER REKAP APAR'!F:O,7,FALSE)
    ),
    VLOOKUP(B5,'REKAP APAR FT MAOS'!B:J,8,FALSE)
)</f>
        <v>46418</v>
      </c>
      <c r="J5" s="29">
        <f ca="1">IFERROR(
    IF(VLOOKUP(B5,'SUMBER REKAP APAR'!F:O,8,FALSE)="",
        VLOOKUP(B5,'REKAP APAR FT MAOS'!B:J,9,FALSE),
        VLOOKUP(B5,'SUMBER REKAP APAR'!F:O,8,FALSE)
    ),
    VLOOKUP(B5,'REKAP APAR FT MAOS'!B:J,9,FALSE)
)</f>
        <v>46418</v>
      </c>
      <c r="K5" s="29" t="e">
        <f ca="1">IFERROR(
    IF(VLOOKUP(B5,'SUMBER REKAP APAR'!F:O,9,FALSE)="",
        VLOOKUP(B5,'REKAP APAR FT MAOS'!B:J,10,FALSE),
        VLOOKUP(B5,'SUMBER REKAP APAR'!F:O,9,FALSE)
    ),
    VLOOKUP(B5,'REKAP APAR FT MAOS'!B:J,10,FALSE)
)</f>
        <v>#REF!</v>
      </c>
      <c r="L5" s="29" t="e">
        <f ca="1">IFERROR(
    IF(VLOOKUP(B5,'SUMBER REKAP APAR'!F:O,10,FALSE)="",
        VLOOKUP(B5,'REKAP APAR FT MAOS'!B:J,11,FALSE),
        VLOOKUP(B5,'SUMBER REKAP APAR'!F:O,10,FALSE)
    ),
    VLOOKUP(B5,'REKAP APAR FT MAOS'!B:J,11,FALSE)
)</f>
        <v>#REF!</v>
      </c>
      <c r="M5" s="29" t="e">
        <f ca="1">IFERROR(
    IF(VLOOKUP(B5,'SUMBER REKAP APAR'!F:Q,11,FALSE)="",
        VLOOKUP(B5,'REKAP APAR FT MAOS'!B:J,12,FALSE),
        VLOOKUP(B5,'SUMBER REKAP APAR'!F:Q,11,FALSE)
    ),
    VLOOKUP(B5,'REKAP APAR FT MAOS'!B:J,12,FALSE)
)</f>
        <v>#REF!</v>
      </c>
      <c r="N5" s="32">
        <f t="shared" ref="N5:R5" ca="1" si="3">IF(OR($AA$1="",D5=""),"",D5-$AA$1)</f>
        <v>-46297</v>
      </c>
      <c r="O5" s="32">
        <f t="shared" ca="1" si="3"/>
        <v>-46297</v>
      </c>
      <c r="P5" s="32">
        <f t="shared" ca="1" si="3"/>
        <v>55</v>
      </c>
      <c r="Q5" s="32">
        <f t="shared" ca="1" si="3"/>
        <v>121</v>
      </c>
      <c r="R5" s="32">
        <f t="shared" ca="1" si="3"/>
        <v>-46297</v>
      </c>
      <c r="S5" s="195"/>
      <c r="T5" s="33">
        <f t="shared" ref="T5:X5" ca="1" si="4">COUNTIF(N5, "&lt;30")</f>
        <v>1</v>
      </c>
      <c r="U5" s="33">
        <f t="shared" ca="1" si="4"/>
        <v>1</v>
      </c>
      <c r="V5" s="33">
        <f t="shared" ca="1" si="4"/>
        <v>0</v>
      </c>
      <c r="W5" s="33">
        <f t="shared" ca="1" si="4"/>
        <v>0</v>
      </c>
      <c r="X5" s="33">
        <f t="shared" ca="1" si="4"/>
        <v>1</v>
      </c>
      <c r="Y5" s="34">
        <f t="shared" ca="1" si="2"/>
        <v>3</v>
      </c>
    </row>
    <row r="6" spans="1:29" ht="15.75" customHeight="1">
      <c r="A6" s="3">
        <v>3</v>
      </c>
      <c r="B6" s="3" t="s">
        <v>1</v>
      </c>
      <c r="C6" s="22" t="s">
        <v>61</v>
      </c>
      <c r="D6" s="29" t="e">
        <f ca="1">IFERROR(
    IF(VLOOKUP(B6,'SUMBER REKAP APAR'!F:O,2,FALSE)="",
        VLOOKUP(B6,'REKAP APAR FT MAOS'!B:J,3,FALSE),
        VLOOKUP(B6,'SUMBER REKAP APAR'!F:O,2,FALSE)
    ),
    VLOOKUP(B6,'REKAP APAR FT MAOS'!B:J,3,FALSE)
)</f>
        <v>#N/A</v>
      </c>
      <c r="E6" s="29" t="e">
        <f ca="1">IFERROR(
    IF(VLOOKUP(B6,'SUMBER REKAP APAR'!F:O,3,FALSE)="",
        VLOOKUP(B6,'REKAP APAR FT MAOS'!B:J,4,FALSE),
        VLOOKUP(B6,'SUMBER REKAP APAR'!F:O,3,FALSE)
    ),
    VLOOKUP(B6,'REKAP APAR FT MAOS'!B:J,4,FALSE)
)</f>
        <v>#N/A</v>
      </c>
      <c r="F6" s="29" t="e">
        <f ca="1">IFERROR(
    IF(VLOOKUP(B6,'SUMBER REKAP APAR'!F:O,4,FALSE)="",
        VLOOKUP(B6,'REKAP APAR FT MAOS'!B:J,5,FALSE),
        VLOOKUP(B6,'SUMBER REKAP APAR'!F:O,4,FALSE)
    ),
    VLOOKUP(B6,'REKAP APAR FT MAOS'!B:J,5,FALSE)
)</f>
        <v>#N/A</v>
      </c>
      <c r="G6" s="29" t="e">
        <f ca="1">IFERROR(
    IF(VLOOKUP(B6,'SUMBER REKAP APAR'!F:O,5,FALSE)="",
        VLOOKUP(B6,'REKAP APAR FT MAOS'!B:J,6,FALSE),
        VLOOKUP(B6,'SUMBER REKAP APAR'!F:O,5,FALSE)
    ),
    VLOOKUP(B6,'REKAP APAR FT MAOS'!B:J,6,FALSE)
)</f>
        <v>#N/A</v>
      </c>
      <c r="H6" s="29" t="e">
        <f ca="1">IFERROR(
    IF(VLOOKUP(B6,'SUMBER REKAP APAR'!F:O,6,FALSE)="",
        VLOOKUP(B6,'REKAP APAR FT MAOS'!B:J,7,FALSE),
        VLOOKUP(B6,'SUMBER REKAP APAR'!F:O,6,FALSE)
    ),
    VLOOKUP(B6,'REKAP APAR FT MAOS'!B:J,7,FALSE)
)</f>
        <v>#N/A</v>
      </c>
      <c r="I6" s="29" t="e">
        <f ca="1">IFERROR(
    IF(VLOOKUP(B6,'SUMBER REKAP APAR'!F:O,7,FALSE)="",
        VLOOKUP(B6,'REKAP APAR FT MAOS'!B:J,8,FALSE),
        VLOOKUP(B6,'SUMBER REKAP APAR'!F:O,7,FALSE)
    ),
    VLOOKUP(B6,'REKAP APAR FT MAOS'!B:J,8,FALSE)
)</f>
        <v>#N/A</v>
      </c>
      <c r="J6" s="29" t="e">
        <f ca="1">IFERROR(
    IF(VLOOKUP(B6,'SUMBER REKAP APAR'!F:O,8,FALSE)="",
        VLOOKUP(B6,'REKAP APAR FT MAOS'!B:J,9,FALSE),
        VLOOKUP(B6,'SUMBER REKAP APAR'!F:O,8,FALSE)
    ),
    VLOOKUP(B6,'REKAP APAR FT MAOS'!B:J,9,FALSE)
)</f>
        <v>#N/A</v>
      </c>
      <c r="K6" s="29" t="e">
        <f ca="1">IFERROR(
    IF(VLOOKUP(B6,'SUMBER REKAP APAR'!F:O,9,FALSE)="",
        VLOOKUP(B6,'REKAP APAR FT MAOS'!B:J,10,FALSE),
        VLOOKUP(B6,'SUMBER REKAP APAR'!F:O,9,FALSE)
    ),
    VLOOKUP(B6,'REKAP APAR FT MAOS'!B:J,10,FALSE)
)</f>
        <v>#N/A</v>
      </c>
      <c r="L6" s="29" t="e">
        <f ca="1">IFERROR(
    IF(VLOOKUP(B6,'SUMBER REKAP APAR'!F:O,10,FALSE)="",
        VLOOKUP(B6,'REKAP APAR FT MAOS'!B:J,11,FALSE),
        VLOOKUP(B6,'SUMBER REKAP APAR'!F:O,10,FALSE)
    ),
    VLOOKUP(B6,'REKAP APAR FT MAOS'!B:J,11,FALSE)
)</f>
        <v>#N/A</v>
      </c>
      <c r="M6" s="29" t="e">
        <f ca="1">IFERROR(
    IF(VLOOKUP(B6,'SUMBER REKAP APAR'!F:Q,11,FALSE)="",
        VLOOKUP(B6,'REKAP APAR FT MAOS'!B:J,12,FALSE),
        VLOOKUP(B6,'SUMBER REKAP APAR'!F:Q,11,FALSE)
    ),
    VLOOKUP(B6,'REKAP APAR FT MAOS'!B:J,12,FALSE)
)</f>
        <v>#N/A</v>
      </c>
      <c r="N6" s="32" t="e">
        <f t="shared" ref="N6:R6" ca="1" si="5">IF(OR($AA$1="",D6=""),"",D6-$AA$1)</f>
        <v>#N/A</v>
      </c>
      <c r="O6" s="32" t="e">
        <f t="shared" ca="1" si="5"/>
        <v>#N/A</v>
      </c>
      <c r="P6" s="32" t="e">
        <f t="shared" ca="1" si="5"/>
        <v>#N/A</v>
      </c>
      <c r="Q6" s="32" t="e">
        <f t="shared" ca="1" si="5"/>
        <v>#N/A</v>
      </c>
      <c r="R6" s="32" t="e">
        <f t="shared" ca="1" si="5"/>
        <v>#N/A</v>
      </c>
      <c r="S6" s="195"/>
      <c r="T6" s="33">
        <f t="shared" ref="T6:X6" ca="1" si="6">COUNTIF(N6, "&lt;30")</f>
        <v>0</v>
      </c>
      <c r="U6" s="33">
        <f t="shared" ca="1" si="6"/>
        <v>0</v>
      </c>
      <c r="V6" s="33">
        <f t="shared" ca="1" si="6"/>
        <v>0</v>
      </c>
      <c r="W6" s="33">
        <f t="shared" ca="1" si="6"/>
        <v>0</v>
      </c>
      <c r="X6" s="33">
        <f t="shared" ca="1" si="6"/>
        <v>0</v>
      </c>
      <c r="Y6" s="34">
        <f t="shared" ca="1" si="2"/>
        <v>0</v>
      </c>
    </row>
    <row r="7" spans="1:29" ht="15.75" customHeight="1">
      <c r="A7" s="3">
        <v>4</v>
      </c>
      <c r="B7" s="3" t="s">
        <v>26</v>
      </c>
      <c r="C7" s="22" t="s">
        <v>61</v>
      </c>
      <c r="D7" s="29" t="e">
        <f ca="1">IFERROR(
    IF(VLOOKUP(B7,'SUMBER REKAP APAR'!F:O,2,FALSE)="",
        VLOOKUP(B7,'REKAP APAR FT MAOS'!B:J,3,FALSE),
        VLOOKUP(B7,'SUMBER REKAP APAR'!F:O,2,FALSE)
    ),
    VLOOKUP(B7,'REKAP APAR FT MAOS'!B:J,3,FALSE)
)</f>
        <v>#N/A</v>
      </c>
      <c r="E7" s="29" t="e">
        <f ca="1">IFERROR(
    IF(VLOOKUP(B7,'SUMBER REKAP APAR'!F:O,3,FALSE)="",
        VLOOKUP(B7,'REKAP APAR FT MAOS'!B:J,4,FALSE),
        VLOOKUP(B7,'SUMBER REKAP APAR'!F:O,3,FALSE)
    ),
    VLOOKUP(B7,'REKAP APAR FT MAOS'!B:J,4,FALSE)
)</f>
        <v>#N/A</v>
      </c>
      <c r="F7" s="29">
        <f ca="1">IFERROR(
    IF(VLOOKUP(B7,'SUMBER REKAP APAR'!F:O,4,FALSE)="",
        VLOOKUP(B7,'REKAP APAR FT MAOS'!B:J,5,FALSE),
        VLOOKUP(B7,'SUMBER REKAP APAR'!F:O,4,FALSE)
    ),
    VLOOKUP(B7,'REKAP APAR FT MAOS'!B:J,5,FALSE)
)</f>
        <v>46111</v>
      </c>
      <c r="G7" s="29">
        <f ca="1">IFERROR(
    IF(VLOOKUP(B7,'SUMBER REKAP APAR'!F:O,5,FALSE)="",
        VLOOKUP(B7,'REKAP APAR FT MAOS'!B:J,6,FALSE),
        VLOOKUP(B7,'SUMBER REKAP APAR'!F:O,5,FALSE)
    ),
    VLOOKUP(B7,'REKAP APAR FT MAOS'!B:J,6,FALSE)
)</f>
        <v>46111</v>
      </c>
      <c r="H7" s="29" t="e">
        <f ca="1">IFERROR(
    IF(VLOOKUP(B7,'SUMBER REKAP APAR'!F:O,6,FALSE)="",
        VLOOKUP(B7,'REKAP APAR FT MAOS'!B:J,7,FALSE),
        VLOOKUP(B7,'SUMBER REKAP APAR'!F:O,6,FALSE)
    ),
    VLOOKUP(B7,'REKAP APAR FT MAOS'!B:J,7,FALSE)
)</f>
        <v>#N/A</v>
      </c>
      <c r="I7" s="29" t="e">
        <f ca="1">IFERROR(
    IF(VLOOKUP(B7,'SUMBER REKAP APAR'!F:O,7,FALSE)="",
        VLOOKUP(B7,'REKAP APAR FT MAOS'!B:J,8,FALSE),
        VLOOKUP(B7,'SUMBER REKAP APAR'!F:O,7,FALSE)
    ),
    VLOOKUP(B7,'REKAP APAR FT MAOS'!B:J,8,FALSE)
)</f>
        <v>#N/A</v>
      </c>
      <c r="J7" s="29" t="e">
        <f ca="1">IFERROR(
    IF(VLOOKUP(B7,'SUMBER REKAP APAR'!F:O,8,FALSE)="",
        VLOOKUP(B7,'REKAP APAR FT MAOS'!B:J,9,FALSE),
        VLOOKUP(B7,'SUMBER REKAP APAR'!F:O,8,FALSE)
    ),
    VLOOKUP(B7,'REKAP APAR FT MAOS'!B:J,9,FALSE)
)</f>
        <v>#N/A</v>
      </c>
      <c r="K7" s="29" t="e">
        <f ca="1">IFERROR(
    IF(VLOOKUP(B7,'SUMBER REKAP APAR'!F:O,9,FALSE)="",
        VLOOKUP(B7,'REKAP APAR FT MAOS'!B:J,10,FALSE),
        VLOOKUP(B7,'SUMBER REKAP APAR'!F:O,9,FALSE)
    ),
    VLOOKUP(B7,'REKAP APAR FT MAOS'!B:J,10,FALSE)
)</f>
        <v>#N/A</v>
      </c>
      <c r="L7" s="29" t="e">
        <f ca="1">IFERROR(
    IF(VLOOKUP(B7,'SUMBER REKAP APAR'!F:O,10,FALSE)="",
        VLOOKUP(B7,'REKAP APAR FT MAOS'!B:J,11,FALSE),
        VLOOKUP(B7,'SUMBER REKAP APAR'!F:O,10,FALSE)
    ),
    VLOOKUP(B7,'REKAP APAR FT MAOS'!B:J,11,FALSE)
)</f>
        <v>#N/A</v>
      </c>
      <c r="M7" s="29" t="e">
        <f ca="1">IFERROR(
    IF(VLOOKUP(B7,'SUMBER REKAP APAR'!F:Q,11,FALSE)="",
        VLOOKUP(B7,'REKAP APAR FT MAOS'!B:J,12,FALSE),
        VLOOKUP(B7,'SUMBER REKAP APAR'!F:Q,11,FALSE)
    ),
    VLOOKUP(B7,'REKAP APAR FT MAOS'!B:J,12,FALSE)
)</f>
        <v>#N/A</v>
      </c>
      <c r="N7" s="32" t="e">
        <f t="shared" ref="N7:R7" ca="1" si="7">IF(OR($AA$1="",D7=""),"",D7-$AA$1)</f>
        <v>#N/A</v>
      </c>
      <c r="O7" s="32" t="e">
        <f t="shared" ca="1" si="7"/>
        <v>#N/A</v>
      </c>
      <c r="P7" s="32">
        <f t="shared" ca="1" si="7"/>
        <v>-186</v>
      </c>
      <c r="Q7" s="32">
        <f t="shared" ca="1" si="7"/>
        <v>-186</v>
      </c>
      <c r="R7" s="32" t="e">
        <f t="shared" ca="1" si="7"/>
        <v>#N/A</v>
      </c>
      <c r="S7" s="195"/>
      <c r="T7" s="33">
        <f t="shared" ref="T7:X7" ca="1" si="8">COUNTIF(N7, "&lt;30")</f>
        <v>0</v>
      </c>
      <c r="U7" s="33">
        <f t="shared" ca="1" si="8"/>
        <v>0</v>
      </c>
      <c r="V7" s="33">
        <f t="shared" ca="1" si="8"/>
        <v>1</v>
      </c>
      <c r="W7" s="33">
        <f t="shared" ca="1" si="8"/>
        <v>1</v>
      </c>
      <c r="X7" s="33">
        <f t="shared" ca="1" si="8"/>
        <v>0</v>
      </c>
      <c r="Y7" s="34">
        <f t="shared" ca="1" si="2"/>
        <v>2</v>
      </c>
    </row>
    <row r="8" spans="1:29" ht="15.75" customHeight="1">
      <c r="A8" s="3">
        <v>5</v>
      </c>
      <c r="B8" s="3" t="s">
        <v>47</v>
      </c>
      <c r="C8" s="22" t="s">
        <v>61</v>
      </c>
      <c r="D8" s="29">
        <f ca="1">IFERROR(
    IF(VLOOKUP(B8,'SUMBER REKAP APAR'!F:O,2,FALSE)="",
        VLOOKUP(B8,'REKAP APAR FT MAOS'!B:J,3,FALSE),
        VLOOKUP(B8,'SUMBER REKAP APAR'!F:O,2,FALSE)
    ),
    VLOOKUP(B8,'REKAP APAR FT MAOS'!B:J,3,FALSE)
)</f>
        <v>46053</v>
      </c>
      <c r="E8" s="29">
        <f ca="1">IFERROR(
    IF(VLOOKUP(B8,'SUMBER REKAP APAR'!F:O,3,FALSE)="",
        VLOOKUP(B8,'REKAP APAR FT MAOS'!B:J,4,FALSE),
        VLOOKUP(B8,'SUMBER REKAP APAR'!F:O,3,FALSE)
    ),
    VLOOKUP(B8,'REKAP APAR FT MAOS'!B:J,4,FALSE)
)</f>
        <v>46053</v>
      </c>
      <c r="F8" s="29">
        <f ca="1">IFERROR(
    IF(VLOOKUP(B8,'SUMBER REKAP APAR'!F:O,4,FALSE)="",
        VLOOKUP(B8,'REKAP APAR FT MAOS'!B:J,5,FALSE),
        VLOOKUP(B8,'SUMBER REKAP APAR'!F:O,4,FALSE)
    ),
    VLOOKUP(B8,'REKAP APAR FT MAOS'!B:J,5,FALSE)
)</f>
        <v>46053</v>
      </c>
      <c r="G8" s="29">
        <f ca="1">IFERROR(
    IF(VLOOKUP(B8,'SUMBER REKAP APAR'!F:O,5,FALSE)="",
        VLOOKUP(B8,'REKAP APAR FT MAOS'!B:J,6,FALSE),
        VLOOKUP(B8,'SUMBER REKAP APAR'!F:O,5,FALSE)
    ),
    VLOOKUP(B8,'REKAP APAR FT MAOS'!B:J,6,FALSE)
)</f>
        <v>46053</v>
      </c>
      <c r="H8" s="29">
        <f ca="1">IFERROR(
    IF(VLOOKUP(B8,'SUMBER REKAP APAR'!F:O,6,FALSE)="",
        VLOOKUP(B8,'REKAP APAR FT MAOS'!B:J,7,FALSE),
        VLOOKUP(B8,'SUMBER REKAP APAR'!F:O,6,FALSE)
    ),
    VLOOKUP(B8,'REKAP APAR FT MAOS'!B:J,7,FALSE)
)</f>
        <v>46292</v>
      </c>
      <c r="I8" s="29">
        <f ca="1">IFERROR(
    IF(VLOOKUP(B8,'SUMBER REKAP APAR'!F:O,7,FALSE)="",
        VLOOKUP(B8,'REKAP APAR FT MAOS'!B:J,8,FALSE),
        VLOOKUP(B8,'SUMBER REKAP APAR'!F:O,7,FALSE)
    ),
    VLOOKUP(B8,'REKAP APAR FT MAOS'!B:J,8,FALSE)
)</f>
        <v>46292</v>
      </c>
      <c r="J8" s="29">
        <f ca="1">IFERROR(
    IF(VLOOKUP(B8,'SUMBER REKAP APAR'!F:O,8,FALSE)="",
        VLOOKUP(B8,'REKAP APAR FT MAOS'!B:J,9,FALSE),
        VLOOKUP(B8,'SUMBER REKAP APAR'!F:O,8,FALSE)
    ),
    VLOOKUP(B8,'REKAP APAR FT MAOS'!B:J,9,FALSE)
)</f>
        <v>46292</v>
      </c>
      <c r="K8" s="29" t="e">
        <f ca="1">IFERROR(
    IF(VLOOKUP(B8,'SUMBER REKAP APAR'!F:O,9,FALSE)="",
        VLOOKUP(B8,'REKAP APAR FT MAOS'!B:J,10,FALSE),
        VLOOKUP(B8,'SUMBER REKAP APAR'!F:O,9,FALSE)
    ),
    VLOOKUP(B8,'REKAP APAR FT MAOS'!B:J,10,FALSE)
)</f>
        <v>#REF!</v>
      </c>
      <c r="L8" s="29" t="e">
        <f ca="1">IFERROR(
    IF(VLOOKUP(B8,'SUMBER REKAP APAR'!F:O,10,FALSE)="",
        VLOOKUP(B8,'REKAP APAR FT MAOS'!B:J,11,FALSE),
        VLOOKUP(B8,'SUMBER REKAP APAR'!F:O,10,FALSE)
    ),
    VLOOKUP(B8,'REKAP APAR FT MAOS'!B:J,11,FALSE)
)</f>
        <v>#REF!</v>
      </c>
      <c r="M8" s="29" t="e">
        <f ca="1">IFERROR(
    IF(VLOOKUP(B8,'SUMBER REKAP APAR'!F:Q,11,FALSE)="",
        VLOOKUP(B8,'REKAP APAR FT MAOS'!B:J,12,FALSE),
        VLOOKUP(B8,'SUMBER REKAP APAR'!F:Q,11,FALSE)
    ),
    VLOOKUP(B8,'REKAP APAR FT MAOS'!B:J,12,FALSE)
)</f>
        <v>#REF!</v>
      </c>
      <c r="N8" s="32">
        <f t="shared" ref="N8:R8" ca="1" si="9">IF(OR($AA$1="",D8=""),"",D8-$AA$1)</f>
        <v>-244</v>
      </c>
      <c r="O8" s="32">
        <f t="shared" ca="1" si="9"/>
        <v>-244</v>
      </c>
      <c r="P8" s="32">
        <f t="shared" ca="1" si="9"/>
        <v>-244</v>
      </c>
      <c r="Q8" s="32">
        <f t="shared" ca="1" si="9"/>
        <v>-244</v>
      </c>
      <c r="R8" s="32">
        <f t="shared" ca="1" si="9"/>
        <v>-5</v>
      </c>
      <c r="S8" s="195"/>
      <c r="T8" s="33">
        <f t="shared" ref="T8:X8" ca="1" si="10">COUNTIF(N8, "&lt;30")</f>
        <v>1</v>
      </c>
      <c r="U8" s="33">
        <f t="shared" ca="1" si="10"/>
        <v>1</v>
      </c>
      <c r="V8" s="33">
        <f t="shared" ca="1" si="10"/>
        <v>1</v>
      </c>
      <c r="W8" s="33">
        <f t="shared" ca="1" si="10"/>
        <v>1</v>
      </c>
      <c r="X8" s="33">
        <f t="shared" ca="1" si="10"/>
        <v>1</v>
      </c>
      <c r="Y8" s="34">
        <f t="shared" ca="1" si="2"/>
        <v>5</v>
      </c>
    </row>
    <row r="9" spans="1:29" ht="15.75" customHeight="1">
      <c r="A9" s="3">
        <v>6</v>
      </c>
      <c r="B9" s="3" t="s">
        <v>49</v>
      </c>
      <c r="C9" s="22" t="s">
        <v>61</v>
      </c>
      <c r="D9" s="29">
        <f ca="1">IFERROR(
    IF(VLOOKUP(B9,'SUMBER REKAP APAR'!F:O,2,FALSE)="",
        VLOOKUP(B9,'REKAP APAR FT MAOS'!B:J,3,FALSE),
        VLOOKUP(B9,'SUMBER REKAP APAR'!F:O,2,FALSE)
    ),
    VLOOKUP(B9,'REKAP APAR FT MAOS'!B:J,3,FALSE)
)</f>
        <v>0</v>
      </c>
      <c r="E9" s="29">
        <f ca="1">IFERROR(
    IF(VLOOKUP(B9,'SUMBER REKAP APAR'!F:O,3,FALSE)="",
        VLOOKUP(B9,'REKAP APAR FT MAOS'!B:J,4,FALSE),
        VLOOKUP(B9,'SUMBER REKAP APAR'!F:O,3,FALSE)
    ),
    VLOOKUP(B9,'REKAP APAR FT MAOS'!B:J,4,FALSE)
)</f>
        <v>0</v>
      </c>
      <c r="F9" s="29">
        <f ca="1">IFERROR(
    IF(VLOOKUP(B9,'SUMBER REKAP APAR'!F:O,4,FALSE)="",
        VLOOKUP(B9,'REKAP APAR FT MAOS'!B:J,5,FALSE),
        VLOOKUP(B9,'SUMBER REKAP APAR'!F:O,4,FALSE)
    ),
    VLOOKUP(B9,'REKAP APAR FT MAOS'!B:J,5,FALSE)
)</f>
        <v>46111</v>
      </c>
      <c r="G9" s="29">
        <f ca="1">IFERROR(
    IF(VLOOKUP(B9,'SUMBER REKAP APAR'!F:O,5,FALSE)="",
        VLOOKUP(B9,'REKAP APAR FT MAOS'!B:J,6,FALSE),
        VLOOKUP(B9,'SUMBER REKAP APAR'!F:O,5,FALSE)
    ),
    VLOOKUP(B9,'REKAP APAR FT MAOS'!B:J,6,FALSE)
)</f>
        <v>46111</v>
      </c>
      <c r="H9" s="29">
        <f ca="1">IFERROR(
    IF(VLOOKUP(B9,'SUMBER REKAP APAR'!F:O,6,FALSE)="",
        VLOOKUP(B9,'REKAP APAR FT MAOS'!B:J,7,FALSE),
        VLOOKUP(B9,'SUMBER REKAP APAR'!F:O,6,FALSE)
    ),
    VLOOKUP(B9,'REKAP APAR FT MAOS'!B:J,7,FALSE)
)</f>
        <v>0</v>
      </c>
      <c r="I9" s="29">
        <f ca="1">IFERROR(
    IF(VLOOKUP(B9,'SUMBER REKAP APAR'!F:O,7,FALSE)="",
        VLOOKUP(B9,'REKAP APAR FT MAOS'!B:J,8,FALSE),
        VLOOKUP(B9,'SUMBER REKAP APAR'!F:O,7,FALSE)
    ),
    VLOOKUP(B9,'REKAP APAR FT MAOS'!B:J,8,FALSE)
)</f>
        <v>46292</v>
      </c>
      <c r="J9" s="29">
        <f ca="1">IFERROR(
    IF(VLOOKUP(B9,'SUMBER REKAP APAR'!F:O,8,FALSE)="",
        VLOOKUP(B9,'REKAP APAR FT MAOS'!B:J,9,FALSE),
        VLOOKUP(B9,'SUMBER REKAP APAR'!F:O,8,FALSE)
    ),
    VLOOKUP(B9,'REKAP APAR FT MAOS'!B:J,9,FALSE)
)</f>
        <v>46292</v>
      </c>
      <c r="K9" s="29" t="e">
        <f ca="1">IFERROR(
    IF(VLOOKUP(B9,'SUMBER REKAP APAR'!F:O,9,FALSE)="",
        VLOOKUP(B9,'REKAP APAR FT MAOS'!B:J,10,FALSE),
        VLOOKUP(B9,'SUMBER REKAP APAR'!F:O,9,FALSE)
    ),
    VLOOKUP(B9,'REKAP APAR FT MAOS'!B:J,10,FALSE)
)</f>
        <v>#REF!</v>
      </c>
      <c r="L9" s="29" t="e">
        <f ca="1">IFERROR(
    IF(VLOOKUP(B9,'SUMBER REKAP APAR'!F:O,10,FALSE)="",
        VLOOKUP(B9,'REKAP APAR FT MAOS'!B:J,11,FALSE),
        VLOOKUP(B9,'SUMBER REKAP APAR'!F:O,10,FALSE)
    ),
    VLOOKUP(B9,'REKAP APAR FT MAOS'!B:J,11,FALSE)
)</f>
        <v>#REF!</v>
      </c>
      <c r="M9" s="29" t="e">
        <f ca="1">IFERROR(
    IF(VLOOKUP(B9,'SUMBER REKAP APAR'!F:Q,11,FALSE)="",
        VLOOKUP(B9,'REKAP APAR FT MAOS'!B:J,12,FALSE),
        VLOOKUP(B9,'SUMBER REKAP APAR'!F:Q,11,FALSE)
    ),
    VLOOKUP(B9,'REKAP APAR FT MAOS'!B:J,12,FALSE)
)</f>
        <v>#REF!</v>
      </c>
      <c r="N9" s="32">
        <f t="shared" ref="N9:R9" ca="1" si="11">IF(OR($AA$1="",D9=""),"",D9-$AA$1)</f>
        <v>-46297</v>
      </c>
      <c r="O9" s="32">
        <f t="shared" ca="1" si="11"/>
        <v>-46297</v>
      </c>
      <c r="P9" s="32">
        <f t="shared" ca="1" si="11"/>
        <v>-186</v>
      </c>
      <c r="Q9" s="32">
        <f t="shared" ca="1" si="11"/>
        <v>-186</v>
      </c>
      <c r="R9" s="32">
        <f t="shared" ca="1" si="11"/>
        <v>-46297</v>
      </c>
      <c r="S9" s="195"/>
      <c r="T9" s="33">
        <f t="shared" ref="T9:X9" ca="1" si="12">COUNTIF(N9, "&lt;30")</f>
        <v>1</v>
      </c>
      <c r="U9" s="33">
        <f t="shared" ca="1" si="12"/>
        <v>1</v>
      </c>
      <c r="V9" s="33">
        <f t="shared" ca="1" si="12"/>
        <v>1</v>
      </c>
      <c r="W9" s="33">
        <f t="shared" ca="1" si="12"/>
        <v>1</v>
      </c>
      <c r="X9" s="33">
        <f t="shared" ca="1" si="12"/>
        <v>1</v>
      </c>
      <c r="Y9" s="34">
        <f t="shared" ca="1" si="2"/>
        <v>5</v>
      </c>
    </row>
    <row r="10" spans="1:29" ht="15.75" customHeight="1">
      <c r="A10" s="3">
        <v>7</v>
      </c>
      <c r="B10" s="3" t="s">
        <v>51</v>
      </c>
      <c r="C10" s="22" t="s">
        <v>61</v>
      </c>
      <c r="D10" s="29">
        <f ca="1">IFERROR(
    IF(VLOOKUP(B10,'SUMBER REKAP APAR'!F:O,2,FALSE)="",
        VLOOKUP(B10,'REKAP APAR FT MAOS'!B:J,3,FALSE),
        VLOOKUP(B10,'SUMBER REKAP APAR'!F:O,2,FALSE)
    ),
    VLOOKUP(B10,'REKAP APAR FT MAOS'!B:J,3,FALSE)
)</f>
        <v>45943</v>
      </c>
      <c r="E10" s="29">
        <f ca="1">IFERROR(
    IF(VLOOKUP(B10,'SUMBER REKAP APAR'!F:O,3,FALSE)="",
        VLOOKUP(B10,'REKAP APAR FT MAOS'!B:J,4,FALSE),
        VLOOKUP(B10,'SUMBER REKAP APAR'!F:O,3,FALSE)
    ),
    VLOOKUP(B10,'REKAP APAR FT MAOS'!B:J,4,FALSE)
)</f>
        <v>45943</v>
      </c>
      <c r="F10" s="29">
        <f ca="1">IFERROR(
    IF(VLOOKUP(B10,'SUMBER REKAP APAR'!F:O,4,FALSE)="",
        VLOOKUP(B10,'REKAP APAR FT MAOS'!B:J,5,FALSE),
        VLOOKUP(B10,'SUMBER REKAP APAR'!F:O,4,FALSE)
    ),
    VLOOKUP(B10,'REKAP APAR FT MAOS'!B:J,5,FALSE)
)</f>
        <v>0</v>
      </c>
      <c r="G10" s="29">
        <f ca="1">IFERROR(
    IF(VLOOKUP(B10,'SUMBER REKAP APAR'!F:O,5,FALSE)="",
        VLOOKUP(B10,'REKAP APAR FT MAOS'!B:J,6,FALSE),
        VLOOKUP(B10,'SUMBER REKAP APAR'!F:O,5,FALSE)
    ),
    VLOOKUP(B10,'REKAP APAR FT MAOS'!B:J,6,FALSE)
)</f>
        <v>0</v>
      </c>
      <c r="H10" s="29">
        <f ca="1">IFERROR(
    IF(VLOOKUP(B10,'SUMBER REKAP APAR'!F:O,6,FALSE)="",
        VLOOKUP(B10,'REKAP APAR FT MAOS'!B:J,7,FALSE),
        VLOOKUP(B10,'SUMBER REKAP APAR'!F:O,6,FALSE)
    ),
    VLOOKUP(B10,'REKAP APAR FT MAOS'!B:J,7,FALSE)
)</f>
        <v>46470</v>
      </c>
      <c r="I10" s="29">
        <f ca="1">IFERROR(
    IF(VLOOKUP(B10,'SUMBER REKAP APAR'!F:O,7,FALSE)="",
        VLOOKUP(B10,'REKAP APAR FT MAOS'!B:J,8,FALSE),
        VLOOKUP(B10,'SUMBER REKAP APAR'!F:O,7,FALSE)
    ),
    VLOOKUP(B10,'REKAP APAR FT MAOS'!B:J,8,FALSE)
)</f>
        <v>0</v>
      </c>
      <c r="J10" s="29">
        <f ca="1">IFERROR(
    IF(VLOOKUP(B10,'SUMBER REKAP APAR'!F:O,8,FALSE)="",
        VLOOKUP(B10,'REKAP APAR FT MAOS'!B:J,9,FALSE),
        VLOOKUP(B10,'SUMBER REKAP APAR'!F:O,8,FALSE)
    ),
    VLOOKUP(B10,'REKAP APAR FT MAOS'!B:J,9,FALSE)
)</f>
        <v>46470</v>
      </c>
      <c r="K10" s="29" t="e">
        <f ca="1">IFERROR(
    IF(VLOOKUP(B10,'SUMBER REKAP APAR'!F:O,9,FALSE)="",
        VLOOKUP(B10,'REKAP APAR FT MAOS'!B:J,10,FALSE),
        VLOOKUP(B10,'SUMBER REKAP APAR'!F:O,9,FALSE)
    ),
    VLOOKUP(B10,'REKAP APAR FT MAOS'!B:J,10,FALSE)
)</f>
        <v>#REF!</v>
      </c>
      <c r="L10" s="29" t="e">
        <f ca="1">IFERROR(
    IF(VLOOKUP(B10,'SUMBER REKAP APAR'!F:O,10,FALSE)="",
        VLOOKUP(B10,'REKAP APAR FT MAOS'!B:J,11,FALSE),
        VLOOKUP(B10,'SUMBER REKAP APAR'!F:O,10,FALSE)
    ),
    VLOOKUP(B10,'REKAP APAR FT MAOS'!B:J,11,FALSE)
)</f>
        <v>#REF!</v>
      </c>
      <c r="M10" s="29" t="e">
        <f ca="1">IFERROR(
    IF(VLOOKUP(B10,'SUMBER REKAP APAR'!F:Q,11,FALSE)="",
        VLOOKUP(B10,'REKAP APAR FT MAOS'!B:J,12,FALSE),
        VLOOKUP(B10,'SUMBER REKAP APAR'!F:Q,11,FALSE)
    ),
    VLOOKUP(B10,'REKAP APAR FT MAOS'!B:J,12,FALSE)
)</f>
        <v>#REF!</v>
      </c>
      <c r="N10" s="32">
        <f t="shared" ref="N10:R10" ca="1" si="13">IF(OR($AA$1="",D10=""),"",D10-$AA$1)</f>
        <v>-354</v>
      </c>
      <c r="O10" s="32">
        <f t="shared" ca="1" si="13"/>
        <v>-354</v>
      </c>
      <c r="P10" s="32">
        <f t="shared" ca="1" si="13"/>
        <v>-46297</v>
      </c>
      <c r="Q10" s="32">
        <f t="shared" ca="1" si="13"/>
        <v>-46297</v>
      </c>
      <c r="R10" s="32">
        <f t="shared" ca="1" si="13"/>
        <v>173</v>
      </c>
      <c r="S10" s="195"/>
      <c r="T10" s="33">
        <f t="shared" ref="T10:X10" ca="1" si="14">COUNTIF(N10, "&lt;30")</f>
        <v>1</v>
      </c>
      <c r="U10" s="33">
        <f t="shared" ca="1" si="14"/>
        <v>1</v>
      </c>
      <c r="V10" s="33">
        <f t="shared" ca="1" si="14"/>
        <v>1</v>
      </c>
      <c r="W10" s="33">
        <f t="shared" ca="1" si="14"/>
        <v>1</v>
      </c>
      <c r="X10" s="33">
        <f t="shared" ca="1" si="14"/>
        <v>0</v>
      </c>
      <c r="Y10" s="34">
        <f t="shared" ca="1" si="2"/>
        <v>4</v>
      </c>
    </row>
    <row r="11" spans="1:29" ht="15.75" customHeight="1">
      <c r="A11" s="3">
        <v>8</v>
      </c>
      <c r="B11" s="3" t="s">
        <v>65</v>
      </c>
      <c r="C11" s="22" t="s">
        <v>54</v>
      </c>
      <c r="D11" s="29">
        <f ca="1">IFERROR(
    IF(VLOOKUP(B11,'SUMBER REKAP APAR'!F:O,2,FALSE)="",
        VLOOKUP(B11,'REKAP APAR FT MAOS'!B:J,3,FALSE),
        VLOOKUP(B11,'SUMBER REKAP APAR'!F:O,2,FALSE)
    ),
    VLOOKUP(B11,'REKAP APAR FT MAOS'!B:J,3,FALSE)
)</f>
        <v>46283</v>
      </c>
      <c r="E11" s="29">
        <f ca="1">IFERROR(
    IF(VLOOKUP(B11,'SUMBER REKAP APAR'!F:O,3,FALSE)="",
        VLOOKUP(B11,'REKAP APAR FT MAOS'!B:J,4,FALSE),
        VLOOKUP(B11,'SUMBER REKAP APAR'!F:O,3,FALSE)
    ),
    VLOOKUP(B11,'REKAP APAR FT MAOS'!B:J,4,FALSE)
)</f>
        <v>0</v>
      </c>
      <c r="F11" s="29">
        <f ca="1">IFERROR(
    IF(VLOOKUP(B11,'SUMBER REKAP APAR'!F:O,4,FALSE)="",
        VLOOKUP(B11,'REKAP APAR FT MAOS'!B:J,5,FALSE),
        VLOOKUP(B11,'SUMBER REKAP APAR'!F:O,4,FALSE)
    ),
    VLOOKUP(B11,'REKAP APAR FT MAOS'!B:J,5,FALSE)
)</f>
        <v>0</v>
      </c>
      <c r="G11" s="29">
        <f ca="1">IFERROR(
    IF(VLOOKUP(B11,'SUMBER REKAP APAR'!F:O,5,FALSE)="",
        VLOOKUP(B11,'REKAP APAR FT MAOS'!B:J,6,FALSE),
        VLOOKUP(B11,'SUMBER REKAP APAR'!F:O,5,FALSE)
    ),
    VLOOKUP(B11,'REKAP APAR FT MAOS'!B:J,6,FALSE)
)</f>
        <v>0</v>
      </c>
      <c r="H11" s="29">
        <f ca="1">IFERROR(
    IF(VLOOKUP(B11,'SUMBER REKAP APAR'!F:O,6,FALSE)="",
        VLOOKUP(B11,'REKAP APAR FT MAOS'!B:J,7,FALSE),
        VLOOKUP(B11,'SUMBER REKAP APAR'!F:O,6,FALSE)
    ),
    VLOOKUP(B11,'REKAP APAR FT MAOS'!B:J,7,FALSE)
)</f>
        <v>46352</v>
      </c>
      <c r="I11" s="29">
        <f ca="1">IFERROR(
    IF(VLOOKUP(B11,'SUMBER REKAP APAR'!F:O,7,FALSE)="",
        VLOOKUP(B11,'REKAP APAR FT MAOS'!B:J,8,FALSE),
        VLOOKUP(B11,'SUMBER REKAP APAR'!F:O,7,FALSE)
    ),
    VLOOKUP(B11,'REKAP APAR FT MAOS'!B:J,8,FALSE)
)</f>
        <v>0</v>
      </c>
      <c r="J11" s="29">
        <f ca="1">IFERROR(
    IF(VLOOKUP(B11,'SUMBER REKAP APAR'!F:O,8,FALSE)="",
        VLOOKUP(B11,'REKAP APAR FT MAOS'!B:J,9,FALSE),
        VLOOKUP(B11,'SUMBER REKAP APAR'!F:O,8,FALSE)
    ),
    VLOOKUP(B11,'REKAP APAR FT MAOS'!B:J,9,FALSE)
)</f>
        <v>46352</v>
      </c>
      <c r="K11" s="29" t="e">
        <f ca="1">IFERROR(
    IF(VLOOKUP(B11,'SUMBER REKAP APAR'!F:O,9,FALSE)="",
        VLOOKUP(B11,'REKAP APAR FT MAOS'!B:J,10,FALSE),
        VLOOKUP(B11,'SUMBER REKAP APAR'!F:O,9,FALSE)
    ),
    VLOOKUP(B11,'REKAP APAR FT MAOS'!B:J,10,FALSE)
)</f>
        <v>#REF!</v>
      </c>
      <c r="L11" s="29" t="e">
        <f ca="1">IFERROR(
    IF(VLOOKUP(B11,'SUMBER REKAP APAR'!F:O,10,FALSE)="",
        VLOOKUP(B11,'REKAP APAR FT MAOS'!B:J,11,FALSE),
        VLOOKUP(B11,'SUMBER REKAP APAR'!F:O,10,FALSE)
    ),
    VLOOKUP(B11,'REKAP APAR FT MAOS'!B:J,11,FALSE)
)</f>
        <v>#REF!</v>
      </c>
      <c r="M11" s="29" t="e">
        <f ca="1">IFERROR(
    IF(VLOOKUP(B11,'SUMBER REKAP APAR'!F:Q,11,FALSE)="",
        VLOOKUP(B11,'REKAP APAR FT MAOS'!B:J,12,FALSE),
        VLOOKUP(B11,'SUMBER REKAP APAR'!F:Q,11,FALSE)
    ),
    VLOOKUP(B11,'REKAP APAR FT MAOS'!B:J,12,FALSE)
)</f>
        <v>#REF!</v>
      </c>
      <c r="N11" s="32">
        <f t="shared" ref="N11:R11" ca="1" si="15">IF(OR($AA$1="",D11=""),"",D11-$AA$1)</f>
        <v>-14</v>
      </c>
      <c r="O11" s="32">
        <f t="shared" ca="1" si="15"/>
        <v>-46297</v>
      </c>
      <c r="P11" s="32">
        <f t="shared" ca="1" si="15"/>
        <v>-46297</v>
      </c>
      <c r="Q11" s="32">
        <f t="shared" ca="1" si="15"/>
        <v>-46297</v>
      </c>
      <c r="R11" s="32">
        <f t="shared" ca="1" si="15"/>
        <v>55</v>
      </c>
      <c r="S11" s="195"/>
      <c r="T11" s="33">
        <f t="shared" ref="T11:X11" ca="1" si="16">COUNTIF(N11, "&lt;30")</f>
        <v>1</v>
      </c>
      <c r="U11" s="33">
        <f t="shared" ca="1" si="16"/>
        <v>1</v>
      </c>
      <c r="V11" s="33">
        <f t="shared" ca="1" si="16"/>
        <v>1</v>
      </c>
      <c r="W11" s="33">
        <f t="shared" ca="1" si="16"/>
        <v>1</v>
      </c>
      <c r="X11" s="33">
        <f t="shared" ca="1" si="16"/>
        <v>0</v>
      </c>
      <c r="Y11" s="34">
        <f t="shared" ca="1" si="2"/>
        <v>4</v>
      </c>
    </row>
    <row r="12" spans="1:29" ht="15.75" customHeight="1">
      <c r="A12" s="3">
        <v>9</v>
      </c>
      <c r="B12" s="3" t="s">
        <v>67</v>
      </c>
      <c r="C12" s="22" t="s">
        <v>54</v>
      </c>
      <c r="D12" s="29">
        <f ca="1">IFERROR(
    IF(VLOOKUP(B12,'SUMBER REKAP APAR'!F:O,2,FALSE)="",
        VLOOKUP(B12,'REKAP APAR FT MAOS'!B:J,3,FALSE),
        VLOOKUP(B12,'SUMBER REKAP APAR'!F:O,2,FALSE)
    ),
    VLOOKUP(B12,'REKAP APAR FT MAOS'!B:J,3,FALSE)
)</f>
        <v>46446</v>
      </c>
      <c r="E12" s="29">
        <f ca="1">IFERROR(
    IF(VLOOKUP(B12,'SUMBER REKAP APAR'!F:O,3,FALSE)="",
        VLOOKUP(B12,'REKAP APAR FT MAOS'!B:J,4,FALSE),
        VLOOKUP(B12,'SUMBER REKAP APAR'!F:O,3,FALSE)
    ),
    VLOOKUP(B12,'REKAP APAR FT MAOS'!B:J,4,FALSE)
)</f>
        <v>46446</v>
      </c>
      <c r="F12" s="29">
        <f ca="1">IFERROR(
    IF(VLOOKUP(B12,'SUMBER REKAP APAR'!F:O,4,FALSE)="",
        VLOOKUP(B12,'REKAP APAR FT MAOS'!B:J,5,FALSE),
        VLOOKUP(B12,'SUMBER REKAP APAR'!F:O,4,FALSE)
    ),
    VLOOKUP(B12,'REKAP APAR FT MAOS'!B:J,5,FALSE)
)</f>
        <v>0</v>
      </c>
      <c r="G12" s="29">
        <f ca="1">IFERROR(
    IF(VLOOKUP(B12,'SUMBER REKAP APAR'!F:O,5,FALSE)="",
        VLOOKUP(B12,'REKAP APAR FT MAOS'!B:J,6,FALSE),
        VLOOKUP(B12,'SUMBER REKAP APAR'!F:O,5,FALSE)
    ),
    VLOOKUP(B12,'REKAP APAR FT MAOS'!B:J,6,FALSE)
)</f>
        <v>46111</v>
      </c>
      <c r="H12" s="29">
        <f ca="1">IFERROR(
    IF(VLOOKUP(B12,'SUMBER REKAP APAR'!F:O,6,FALSE)="",
        VLOOKUP(B12,'REKAP APAR FT MAOS'!B:J,7,FALSE),
        VLOOKUP(B12,'SUMBER REKAP APAR'!F:O,6,FALSE)
    ),
    VLOOKUP(B12,'REKAP APAR FT MAOS'!B:J,7,FALSE)
)</f>
        <v>46446</v>
      </c>
      <c r="I12" s="29">
        <f ca="1">IFERROR(
    IF(VLOOKUP(B12,'SUMBER REKAP APAR'!F:O,7,FALSE)="",
        VLOOKUP(B12,'REKAP APAR FT MAOS'!B:J,8,FALSE),
        VLOOKUP(B12,'SUMBER REKAP APAR'!F:O,7,FALSE)
    ),
    VLOOKUP(B12,'REKAP APAR FT MAOS'!B:J,8,FALSE)
)</f>
        <v>0</v>
      </c>
      <c r="J12" s="29">
        <f ca="1">IFERROR(
    IF(VLOOKUP(B12,'SUMBER REKAP APAR'!F:O,8,FALSE)="",
        VLOOKUP(B12,'REKAP APAR FT MAOS'!B:J,9,FALSE),
        VLOOKUP(B12,'SUMBER REKAP APAR'!F:O,8,FALSE)
    ),
    VLOOKUP(B12,'REKAP APAR FT MAOS'!B:J,9,FALSE)
)</f>
        <v>46292</v>
      </c>
      <c r="K12" s="29" t="e">
        <f ca="1">IFERROR(
    IF(VLOOKUP(B12,'SUMBER REKAP APAR'!F:O,9,FALSE)="",
        VLOOKUP(B12,'REKAP APAR FT MAOS'!B:J,10,FALSE),
        VLOOKUP(B12,'SUMBER REKAP APAR'!F:O,9,FALSE)
    ),
    VLOOKUP(B12,'REKAP APAR FT MAOS'!B:J,10,FALSE)
)</f>
        <v>#REF!</v>
      </c>
      <c r="L12" s="29" t="e">
        <f ca="1">IFERROR(
    IF(VLOOKUP(B12,'SUMBER REKAP APAR'!F:O,10,FALSE)="",
        VLOOKUP(B12,'REKAP APAR FT MAOS'!B:J,11,FALSE),
        VLOOKUP(B12,'SUMBER REKAP APAR'!F:O,10,FALSE)
    ),
    VLOOKUP(B12,'REKAP APAR FT MAOS'!B:J,11,FALSE)
)</f>
        <v>#REF!</v>
      </c>
      <c r="M12" s="29" t="e">
        <f ca="1">IFERROR(
    IF(VLOOKUP(B12,'SUMBER REKAP APAR'!F:Q,11,FALSE)="",
        VLOOKUP(B12,'REKAP APAR FT MAOS'!B:J,12,FALSE),
        VLOOKUP(B12,'SUMBER REKAP APAR'!F:Q,11,FALSE)
    ),
    VLOOKUP(B12,'REKAP APAR FT MAOS'!B:J,12,FALSE)
)</f>
        <v>#REF!</v>
      </c>
      <c r="N12" s="32">
        <f t="shared" ref="N12:R12" ca="1" si="17">IF(OR($AA$1="",D12=""),"",D12-$AA$1)</f>
        <v>149</v>
      </c>
      <c r="O12" s="32">
        <f t="shared" ca="1" si="17"/>
        <v>149</v>
      </c>
      <c r="P12" s="32">
        <f t="shared" ca="1" si="17"/>
        <v>-46297</v>
      </c>
      <c r="Q12" s="32">
        <f t="shared" ca="1" si="17"/>
        <v>-186</v>
      </c>
      <c r="R12" s="32">
        <f t="shared" ca="1" si="17"/>
        <v>149</v>
      </c>
      <c r="S12" s="195"/>
      <c r="T12" s="33">
        <f t="shared" ref="T12:X12" ca="1" si="18">COUNTIF(N12, "&lt;30")</f>
        <v>0</v>
      </c>
      <c r="U12" s="33">
        <f t="shared" ca="1" si="18"/>
        <v>0</v>
      </c>
      <c r="V12" s="33">
        <f t="shared" ca="1" si="18"/>
        <v>1</v>
      </c>
      <c r="W12" s="33">
        <f t="shared" ca="1" si="18"/>
        <v>1</v>
      </c>
      <c r="X12" s="33">
        <f t="shared" ca="1" si="18"/>
        <v>0</v>
      </c>
      <c r="Y12" s="34">
        <f t="shared" ca="1" si="2"/>
        <v>2</v>
      </c>
    </row>
    <row r="13" spans="1:29" ht="15.75" customHeight="1">
      <c r="A13" s="3">
        <v>10</v>
      </c>
      <c r="B13" s="3" t="s">
        <v>68</v>
      </c>
      <c r="C13" s="22" t="s">
        <v>54</v>
      </c>
      <c r="D13" s="29">
        <f ca="1">IFERROR(
    IF(VLOOKUP(B13,'SUMBER REKAP APAR'!F:O,2,FALSE)="",
        VLOOKUP(B13,'REKAP APAR FT MAOS'!B:J,3,FALSE),
        VLOOKUP(B13,'SUMBER REKAP APAR'!F:O,2,FALSE)
    ),
    VLOOKUP(B13,'REKAP APAR FT MAOS'!B:J,3,FALSE)
)</f>
        <v>46283</v>
      </c>
      <c r="E13" s="29">
        <f ca="1">IFERROR(
    IF(VLOOKUP(B13,'SUMBER REKAP APAR'!F:O,3,FALSE)="",
        VLOOKUP(B13,'REKAP APAR FT MAOS'!B:J,4,FALSE),
        VLOOKUP(B13,'SUMBER REKAP APAR'!F:O,3,FALSE)
    ),
    VLOOKUP(B13,'REKAP APAR FT MAOS'!B:J,4,FALSE)
)</f>
        <v>46283</v>
      </c>
      <c r="F13" s="29">
        <f ca="1">IFERROR(
    IF(VLOOKUP(B13,'SUMBER REKAP APAR'!F:O,4,FALSE)="",
        VLOOKUP(B13,'REKAP APAR FT MAOS'!B:J,5,FALSE),
        VLOOKUP(B13,'SUMBER REKAP APAR'!F:O,4,FALSE)
    ),
    VLOOKUP(B13,'REKAP APAR FT MAOS'!B:J,5,FALSE)
)</f>
        <v>46111</v>
      </c>
      <c r="G13" s="29">
        <f ca="1">IFERROR(
    IF(VLOOKUP(B13,'SUMBER REKAP APAR'!F:O,5,FALSE)="",
        VLOOKUP(B13,'REKAP APAR FT MAOS'!B:J,6,FALSE),
        VLOOKUP(B13,'SUMBER REKAP APAR'!F:O,5,FALSE)
    ),
    VLOOKUP(B13,'REKAP APAR FT MAOS'!B:J,6,FALSE)
)</f>
        <v>46111</v>
      </c>
      <c r="H13" s="29">
        <f ca="1">IFERROR(
    IF(VLOOKUP(B13,'SUMBER REKAP APAR'!F:O,6,FALSE)="",
        VLOOKUP(B13,'REKAP APAR FT MAOS'!B:J,7,FALSE),
        VLOOKUP(B13,'SUMBER REKAP APAR'!F:O,6,FALSE)
    ),
    VLOOKUP(B13,'REKAP APAR FT MAOS'!B:J,7,FALSE)
)</f>
        <v>46446</v>
      </c>
      <c r="I13" s="29">
        <f ca="1">IFERROR(
    IF(VLOOKUP(B13,'SUMBER REKAP APAR'!F:O,7,FALSE)="",
        VLOOKUP(B13,'REKAP APAR FT MAOS'!B:J,8,FALSE),
        VLOOKUP(B13,'SUMBER REKAP APAR'!F:O,7,FALSE)
    ),
    VLOOKUP(B13,'REKAP APAR FT MAOS'!B:J,8,FALSE)
)</f>
        <v>0</v>
      </c>
      <c r="J13" s="29">
        <f ca="1">IFERROR(
    IF(VLOOKUP(B13,'SUMBER REKAP APAR'!F:O,8,FALSE)="",
        VLOOKUP(B13,'REKAP APAR FT MAOS'!B:J,9,FALSE),
        VLOOKUP(B13,'SUMBER REKAP APAR'!F:O,8,FALSE)
    ),
    VLOOKUP(B13,'REKAP APAR FT MAOS'!B:J,9,FALSE)
)</f>
        <v>46446</v>
      </c>
      <c r="K13" s="29" t="e">
        <f ca="1">IFERROR(
    IF(VLOOKUP(B13,'SUMBER REKAP APAR'!F:O,9,FALSE)="",
        VLOOKUP(B13,'REKAP APAR FT MAOS'!B:J,10,FALSE),
        VLOOKUP(B13,'SUMBER REKAP APAR'!F:O,9,FALSE)
    ),
    VLOOKUP(B13,'REKAP APAR FT MAOS'!B:J,10,FALSE)
)</f>
        <v>#REF!</v>
      </c>
      <c r="L13" s="29" t="e">
        <f ca="1">IFERROR(
    IF(VLOOKUP(B13,'SUMBER REKAP APAR'!F:O,10,FALSE)="",
        VLOOKUP(B13,'REKAP APAR FT MAOS'!B:J,11,FALSE),
        VLOOKUP(B13,'SUMBER REKAP APAR'!F:O,10,FALSE)
    ),
    VLOOKUP(B13,'REKAP APAR FT MAOS'!B:J,11,FALSE)
)</f>
        <v>#REF!</v>
      </c>
      <c r="M13" s="29" t="e">
        <f ca="1">IFERROR(
    IF(VLOOKUP(B13,'SUMBER REKAP APAR'!F:Q,11,FALSE)="",
        VLOOKUP(B13,'REKAP APAR FT MAOS'!B:J,12,FALSE),
        VLOOKUP(B13,'SUMBER REKAP APAR'!F:Q,11,FALSE)
    ),
    VLOOKUP(B13,'REKAP APAR FT MAOS'!B:J,12,FALSE)
)</f>
        <v>#REF!</v>
      </c>
      <c r="N13" s="32">
        <f t="shared" ref="N13:R13" ca="1" si="19">IF(OR($AA$1="",D13=""),"",D13-$AA$1)</f>
        <v>-14</v>
      </c>
      <c r="O13" s="32">
        <f t="shared" ca="1" si="19"/>
        <v>-14</v>
      </c>
      <c r="P13" s="32">
        <f t="shared" ca="1" si="19"/>
        <v>-186</v>
      </c>
      <c r="Q13" s="32">
        <f t="shared" ca="1" si="19"/>
        <v>-186</v>
      </c>
      <c r="R13" s="32">
        <f t="shared" ca="1" si="19"/>
        <v>149</v>
      </c>
      <c r="S13" s="195"/>
      <c r="T13" s="33">
        <f t="shared" ref="T13:X13" ca="1" si="20">COUNTIF(N13, "&lt;30")</f>
        <v>1</v>
      </c>
      <c r="U13" s="33">
        <f t="shared" ca="1" si="20"/>
        <v>1</v>
      </c>
      <c r="V13" s="33">
        <f t="shared" ca="1" si="20"/>
        <v>1</v>
      </c>
      <c r="W13" s="33">
        <f t="shared" ca="1" si="20"/>
        <v>1</v>
      </c>
      <c r="X13" s="33">
        <f t="shared" ca="1" si="20"/>
        <v>0</v>
      </c>
      <c r="Y13" s="34">
        <f t="shared" ca="1" si="2"/>
        <v>4</v>
      </c>
      <c r="Z13" s="49"/>
      <c r="AA13" s="47"/>
      <c r="AB13" s="47"/>
      <c r="AC13" s="47"/>
    </row>
    <row r="14" spans="1:29" ht="15.75" customHeight="1">
      <c r="A14" s="3">
        <v>11</v>
      </c>
      <c r="B14" s="36" t="s">
        <v>76</v>
      </c>
      <c r="C14" s="22" t="s">
        <v>54</v>
      </c>
      <c r="D14" s="29">
        <f ca="1">IFERROR(
    IF(VLOOKUP(B14,'SUMBER REKAP APAR'!F:O,2,FALSE)="",
        VLOOKUP(B14,'REKAP APAR FT MAOS'!B:J,3,FALSE),
        VLOOKUP(B14,'SUMBER REKAP APAR'!F:O,2,FALSE)
    ),
    VLOOKUP(B14,'REKAP APAR FT MAOS'!B:J,3,FALSE)
)</f>
        <v>46418</v>
      </c>
      <c r="E14" s="29">
        <f ca="1">IFERROR(
    IF(VLOOKUP(B14,'SUMBER REKAP APAR'!F:O,3,FALSE)="",
        VLOOKUP(B14,'REKAP APAR FT MAOS'!B:J,4,FALSE),
        VLOOKUP(B14,'SUMBER REKAP APAR'!F:O,3,FALSE)
    ),
    VLOOKUP(B14,'REKAP APAR FT MAOS'!B:J,4,FALSE)
)</f>
        <v>46418</v>
      </c>
      <c r="F14" s="29">
        <f ca="1">IFERROR(
    IF(VLOOKUP(B14,'SUMBER REKAP APAR'!F:O,4,FALSE)="",
        VLOOKUP(B14,'REKAP APAR FT MAOS'!B:J,5,FALSE),
        VLOOKUP(B14,'SUMBER REKAP APAR'!F:O,4,FALSE)
    ),
    VLOOKUP(B14,'REKAP APAR FT MAOS'!B:J,5,FALSE)
)</f>
        <v>46376</v>
      </c>
      <c r="G14" s="29">
        <f ca="1">IFERROR(
    IF(VLOOKUP(B14,'SUMBER REKAP APAR'!F:O,5,FALSE)="",
        VLOOKUP(B14,'REKAP APAR FT MAOS'!B:J,6,FALSE),
        VLOOKUP(B14,'SUMBER REKAP APAR'!F:O,5,FALSE)
    ),
    VLOOKUP(B14,'REKAP APAR FT MAOS'!B:J,6,FALSE)
)</f>
        <v>0</v>
      </c>
      <c r="H14" s="29">
        <f ca="1">IFERROR(
    IF(VLOOKUP(B14,'SUMBER REKAP APAR'!F:O,6,FALSE)="",
        VLOOKUP(B14,'REKAP APAR FT MAOS'!B:J,7,FALSE),
        VLOOKUP(B14,'SUMBER REKAP APAR'!F:O,6,FALSE)
    ),
    VLOOKUP(B14,'REKAP APAR FT MAOS'!B:J,7,FALSE)
)</f>
        <v>0</v>
      </c>
      <c r="I14" s="29">
        <f ca="1">IFERROR(
    IF(VLOOKUP(B14,'SUMBER REKAP APAR'!F:O,7,FALSE)="",
        VLOOKUP(B14,'REKAP APAR FT MAOS'!B:J,8,FALSE),
        VLOOKUP(B14,'SUMBER REKAP APAR'!F:O,7,FALSE)
    ),
    VLOOKUP(B14,'REKAP APAR FT MAOS'!B:J,8,FALSE)
)</f>
        <v>0</v>
      </c>
      <c r="J14" s="29">
        <f ca="1">IFERROR(
    IF(VLOOKUP(B14,'SUMBER REKAP APAR'!F:O,8,FALSE)="",
        VLOOKUP(B14,'REKAP APAR FT MAOS'!B:J,9,FALSE),
        VLOOKUP(B14,'SUMBER REKAP APAR'!F:O,8,FALSE)
    ),
    VLOOKUP(B14,'REKAP APAR FT MAOS'!B:J,9,FALSE)
)</f>
        <v>46254</v>
      </c>
      <c r="K14" s="29" t="e">
        <f ca="1">IFERROR(
    IF(VLOOKUP(B14,'SUMBER REKAP APAR'!F:O,9,FALSE)="",
        VLOOKUP(B14,'REKAP APAR FT MAOS'!B:J,10,FALSE),
        VLOOKUP(B14,'SUMBER REKAP APAR'!F:O,9,FALSE)
    ),
    VLOOKUP(B14,'REKAP APAR FT MAOS'!B:J,10,FALSE)
)</f>
        <v>#REF!</v>
      </c>
      <c r="L14" s="29" t="e">
        <f ca="1">IFERROR(
    IF(VLOOKUP(B14,'SUMBER REKAP APAR'!F:O,10,FALSE)="",
        VLOOKUP(B14,'REKAP APAR FT MAOS'!B:J,11,FALSE),
        VLOOKUP(B14,'SUMBER REKAP APAR'!F:O,10,FALSE)
    ),
    VLOOKUP(B14,'REKAP APAR FT MAOS'!B:J,11,FALSE)
)</f>
        <v>#REF!</v>
      </c>
      <c r="M14" s="29" t="e">
        <f ca="1">IFERROR(
    IF(VLOOKUP(B14,'SUMBER REKAP APAR'!F:Q,11,FALSE)="",
        VLOOKUP(B14,'REKAP APAR FT MAOS'!B:J,12,FALSE),
        VLOOKUP(B14,'SUMBER REKAP APAR'!F:Q,11,FALSE)
    ),
    VLOOKUP(B14,'REKAP APAR FT MAOS'!B:J,12,FALSE)
)</f>
        <v>#REF!</v>
      </c>
      <c r="N14" s="32">
        <f t="shared" ref="N14:R14" ca="1" si="21">IF(OR($AA$1="",D14=""),"",D14-$AA$1)</f>
        <v>121</v>
      </c>
      <c r="O14" s="32">
        <f t="shared" ca="1" si="21"/>
        <v>121</v>
      </c>
      <c r="P14" s="32">
        <f t="shared" ca="1" si="21"/>
        <v>79</v>
      </c>
      <c r="Q14" s="32">
        <f t="shared" ca="1" si="21"/>
        <v>-46297</v>
      </c>
      <c r="R14" s="32">
        <f t="shared" ca="1" si="21"/>
        <v>-46297</v>
      </c>
      <c r="S14" s="195"/>
      <c r="T14" s="33">
        <f t="shared" ref="T14:X14" ca="1" si="22">COUNTIF(N14, "&lt;30")</f>
        <v>0</v>
      </c>
      <c r="U14" s="33">
        <f t="shared" ca="1" si="22"/>
        <v>0</v>
      </c>
      <c r="V14" s="33">
        <f t="shared" ca="1" si="22"/>
        <v>0</v>
      </c>
      <c r="W14" s="33">
        <f t="shared" ca="1" si="22"/>
        <v>1</v>
      </c>
      <c r="X14" s="33">
        <f t="shared" ca="1" si="22"/>
        <v>1</v>
      </c>
      <c r="Y14" s="34">
        <f t="shared" ca="1" si="2"/>
        <v>2</v>
      </c>
      <c r="Z14" s="52"/>
      <c r="AA14" s="47"/>
      <c r="AB14" s="47"/>
      <c r="AC14" s="47"/>
    </row>
    <row r="15" spans="1:29" ht="15.75" customHeight="1">
      <c r="A15" s="3">
        <v>12</v>
      </c>
      <c r="B15" s="36" t="s">
        <v>78</v>
      </c>
      <c r="C15" s="22" t="s">
        <v>54</v>
      </c>
      <c r="D15" s="29">
        <f ca="1">IFERROR(
    IF(VLOOKUP(B15,'SUMBER REKAP APAR'!F:O,2,FALSE)="",
        VLOOKUP(B15,'REKAP APAR FT MAOS'!B:J,3,FALSE),
        VLOOKUP(B15,'SUMBER REKAP APAR'!F:O,2,FALSE)
    ),
    VLOOKUP(B15,'REKAP APAR FT MAOS'!B:J,3,FALSE)
)</f>
        <v>46283</v>
      </c>
      <c r="E15" s="29">
        <f ca="1">IFERROR(
    IF(VLOOKUP(B15,'SUMBER REKAP APAR'!F:O,3,FALSE)="",
        VLOOKUP(B15,'REKAP APAR FT MAOS'!B:J,4,FALSE),
        VLOOKUP(B15,'SUMBER REKAP APAR'!F:O,3,FALSE)
    ),
    VLOOKUP(B15,'REKAP APAR FT MAOS'!B:J,4,FALSE)
)</f>
        <v>46283</v>
      </c>
      <c r="F15" s="29">
        <f ca="1">IFERROR(
    IF(VLOOKUP(B15,'SUMBER REKAP APAR'!F:O,4,FALSE)="",
        VLOOKUP(B15,'REKAP APAR FT MAOS'!B:J,5,FALSE),
        VLOOKUP(B15,'SUMBER REKAP APAR'!F:O,4,FALSE)
    ),
    VLOOKUP(B15,'REKAP APAR FT MAOS'!B:J,5,FALSE)
)</f>
        <v>0</v>
      </c>
      <c r="G15" s="29">
        <f ca="1">IFERROR(
    IF(VLOOKUP(B15,'SUMBER REKAP APAR'!F:O,5,FALSE)="",
        VLOOKUP(B15,'REKAP APAR FT MAOS'!B:J,6,FALSE),
        VLOOKUP(B15,'SUMBER REKAP APAR'!F:O,5,FALSE)
    ),
    VLOOKUP(B15,'REKAP APAR FT MAOS'!B:J,6,FALSE)
)</f>
        <v>0</v>
      </c>
      <c r="H15" s="29">
        <f ca="1">IFERROR(
    IF(VLOOKUP(B15,'SUMBER REKAP APAR'!F:O,6,FALSE)="",
        VLOOKUP(B15,'REKAP APAR FT MAOS'!B:J,7,FALSE),
        VLOOKUP(B15,'SUMBER REKAP APAR'!F:O,6,FALSE)
    ),
    VLOOKUP(B15,'REKAP APAR FT MAOS'!B:J,7,FALSE)
)</f>
        <v>46325</v>
      </c>
      <c r="I15" s="29">
        <f ca="1">IFERROR(
    IF(VLOOKUP(B15,'SUMBER REKAP APAR'!F:O,7,FALSE)="",
        VLOOKUP(B15,'REKAP APAR FT MAOS'!B:J,8,FALSE),
        VLOOKUP(B15,'SUMBER REKAP APAR'!F:O,7,FALSE)
    ),
    VLOOKUP(B15,'REKAP APAR FT MAOS'!B:J,8,FALSE)
)</f>
        <v>0</v>
      </c>
      <c r="J15" s="29">
        <f ca="1">IFERROR(
    IF(VLOOKUP(B15,'SUMBER REKAP APAR'!F:O,8,FALSE)="",
        VLOOKUP(B15,'REKAP APAR FT MAOS'!B:J,9,FALSE),
        VLOOKUP(B15,'SUMBER REKAP APAR'!F:O,8,FALSE)
    ),
    VLOOKUP(B15,'REKAP APAR FT MAOS'!B:J,9,FALSE)
)</f>
        <v>46325</v>
      </c>
      <c r="K15" s="29" t="e">
        <f ca="1">IFERROR(
    IF(VLOOKUP(B15,'SUMBER REKAP APAR'!F:O,9,FALSE)="",
        VLOOKUP(B15,'REKAP APAR FT MAOS'!B:J,10,FALSE),
        VLOOKUP(B15,'SUMBER REKAP APAR'!F:O,9,FALSE)
    ),
    VLOOKUP(B15,'REKAP APAR FT MAOS'!B:J,10,FALSE)
)</f>
        <v>#REF!</v>
      </c>
      <c r="L15" s="29" t="e">
        <f ca="1">IFERROR(
    IF(VLOOKUP(B15,'SUMBER REKAP APAR'!F:O,10,FALSE)="",
        VLOOKUP(B15,'REKAP APAR FT MAOS'!B:J,11,FALSE),
        VLOOKUP(B15,'SUMBER REKAP APAR'!F:O,10,FALSE)
    ),
    VLOOKUP(B15,'REKAP APAR FT MAOS'!B:J,11,FALSE)
)</f>
        <v>#REF!</v>
      </c>
      <c r="M15" s="29" t="e">
        <f ca="1">IFERROR(
    IF(VLOOKUP(B15,'SUMBER REKAP APAR'!F:Q,11,FALSE)="",
        VLOOKUP(B15,'REKAP APAR FT MAOS'!B:J,12,FALSE),
        VLOOKUP(B15,'SUMBER REKAP APAR'!F:Q,11,FALSE)
    ),
    VLOOKUP(B15,'REKAP APAR FT MAOS'!B:J,12,FALSE)
)</f>
        <v>#REF!</v>
      </c>
      <c r="N15" s="32">
        <f t="shared" ref="N15:R15" ca="1" si="23">IF(OR($AA$1="",D15=""),"",D15-$AA$1)</f>
        <v>-14</v>
      </c>
      <c r="O15" s="32">
        <f t="shared" ca="1" si="23"/>
        <v>-14</v>
      </c>
      <c r="P15" s="32">
        <f t="shared" ca="1" si="23"/>
        <v>-46297</v>
      </c>
      <c r="Q15" s="32">
        <f t="shared" ca="1" si="23"/>
        <v>-46297</v>
      </c>
      <c r="R15" s="32">
        <f t="shared" ca="1" si="23"/>
        <v>28</v>
      </c>
      <c r="S15" s="195"/>
      <c r="T15" s="33">
        <f t="shared" ref="T15:X15" ca="1" si="24">COUNTIF(N15, "&lt;30")</f>
        <v>1</v>
      </c>
      <c r="U15" s="33">
        <f t="shared" ca="1" si="24"/>
        <v>1</v>
      </c>
      <c r="V15" s="33">
        <f t="shared" ca="1" si="24"/>
        <v>1</v>
      </c>
      <c r="W15" s="33">
        <f t="shared" ca="1" si="24"/>
        <v>1</v>
      </c>
      <c r="X15" s="33">
        <f t="shared" ca="1" si="24"/>
        <v>1</v>
      </c>
      <c r="Y15" s="34">
        <f t="shared" ca="1" si="2"/>
        <v>5</v>
      </c>
      <c r="Z15" s="52"/>
      <c r="AA15" s="47"/>
      <c r="AB15" s="47"/>
      <c r="AC15" s="47"/>
    </row>
    <row r="16" spans="1:29" ht="15.75" customHeight="1">
      <c r="A16" s="3">
        <v>13</v>
      </c>
      <c r="B16" s="3" t="s">
        <v>79</v>
      </c>
      <c r="C16" s="22" t="s">
        <v>54</v>
      </c>
      <c r="D16" s="29">
        <f ca="1">IFERROR(
    IF(VLOOKUP(B16,'SUMBER REKAP APAR'!F:O,2,FALSE)="",
        VLOOKUP(B16,'REKAP APAR FT MAOS'!B:J,3,FALSE),
        VLOOKUP(B16,'SUMBER REKAP APAR'!F:O,2,FALSE)
    ),
    VLOOKUP(B16,'REKAP APAR FT MAOS'!B:J,3,FALSE)
)</f>
        <v>46023</v>
      </c>
      <c r="E16" s="29">
        <f ca="1">IFERROR(
    IF(VLOOKUP(B16,'SUMBER REKAP APAR'!F:O,3,FALSE)="",
        VLOOKUP(B16,'REKAP APAR FT MAOS'!B:J,4,FALSE),
        VLOOKUP(B16,'SUMBER REKAP APAR'!F:O,3,FALSE)
    ),
    VLOOKUP(B16,'REKAP APAR FT MAOS'!B:J,4,FALSE)
)</f>
        <v>46023</v>
      </c>
      <c r="F16" s="29">
        <f ca="1">IFERROR(
    IF(VLOOKUP(B16,'SUMBER REKAP APAR'!F:O,4,FALSE)="",
        VLOOKUP(B16,'REKAP APAR FT MAOS'!B:J,5,FALSE),
        VLOOKUP(B16,'SUMBER REKAP APAR'!F:O,4,FALSE)
    ),
    VLOOKUP(B16,'REKAP APAR FT MAOS'!B:J,5,FALSE)
)</f>
        <v>46036</v>
      </c>
      <c r="G16" s="29">
        <f ca="1">IFERROR(
    IF(VLOOKUP(B16,'SUMBER REKAP APAR'!F:O,5,FALSE)="",
        VLOOKUP(B16,'REKAP APAR FT MAOS'!B:J,6,FALSE),
        VLOOKUP(B16,'SUMBER REKAP APAR'!F:O,5,FALSE)
    ),
    VLOOKUP(B16,'REKAP APAR FT MAOS'!B:J,6,FALSE)
)</f>
        <v>46036</v>
      </c>
      <c r="H16" s="29">
        <f ca="1">IFERROR(
    IF(VLOOKUP(B16,'SUMBER REKAP APAR'!F:O,6,FALSE)="",
        VLOOKUP(B16,'REKAP APAR FT MAOS'!B:J,7,FALSE),
        VLOOKUP(B16,'SUMBER REKAP APAR'!F:O,6,FALSE)
    ),
    VLOOKUP(B16,'REKAP APAR FT MAOS'!B:J,7,FALSE)
)</f>
        <v>46254</v>
      </c>
      <c r="I16" s="29">
        <f ca="1">IFERROR(
    IF(VLOOKUP(B16,'SUMBER REKAP APAR'!F:O,7,FALSE)="",
        VLOOKUP(B16,'REKAP APAR FT MAOS'!B:J,8,FALSE),
        VLOOKUP(B16,'SUMBER REKAP APAR'!F:O,7,FALSE)
    ),
    VLOOKUP(B16,'REKAP APAR FT MAOS'!B:J,8,FALSE)
)</f>
        <v>0</v>
      </c>
      <c r="J16" s="29">
        <f ca="1">IFERROR(
    IF(VLOOKUP(B16,'SUMBER REKAP APAR'!F:O,8,FALSE)="",
        VLOOKUP(B16,'REKAP APAR FT MAOS'!B:J,9,FALSE),
        VLOOKUP(B16,'SUMBER REKAP APAR'!F:O,8,FALSE)
    ),
    VLOOKUP(B16,'REKAP APAR FT MAOS'!B:J,9,FALSE)
)</f>
        <v>46254</v>
      </c>
      <c r="K16" s="29" t="e">
        <f ca="1">IFERROR(
    IF(VLOOKUP(B16,'SUMBER REKAP APAR'!F:O,9,FALSE)="",
        VLOOKUP(B16,'REKAP APAR FT MAOS'!B:J,10,FALSE),
        VLOOKUP(B16,'SUMBER REKAP APAR'!F:O,9,FALSE)
    ),
    VLOOKUP(B16,'REKAP APAR FT MAOS'!B:J,10,FALSE)
)</f>
        <v>#REF!</v>
      </c>
      <c r="L16" s="29" t="e">
        <f ca="1">IFERROR(
    IF(VLOOKUP(B16,'SUMBER REKAP APAR'!F:O,10,FALSE)="",
        VLOOKUP(B16,'REKAP APAR FT MAOS'!B:J,11,FALSE),
        VLOOKUP(B16,'SUMBER REKAP APAR'!F:O,10,FALSE)
    ),
    VLOOKUP(B16,'REKAP APAR FT MAOS'!B:J,11,FALSE)
)</f>
        <v>#REF!</v>
      </c>
      <c r="M16" s="29" t="e">
        <f ca="1">IFERROR(
    IF(VLOOKUP(B16,'SUMBER REKAP APAR'!F:Q,11,FALSE)="",
        VLOOKUP(B16,'REKAP APAR FT MAOS'!B:J,12,FALSE),
        VLOOKUP(B16,'SUMBER REKAP APAR'!F:Q,11,FALSE)
    ),
    VLOOKUP(B16,'REKAP APAR FT MAOS'!B:J,12,FALSE)
)</f>
        <v>#REF!</v>
      </c>
      <c r="N16" s="32">
        <f t="shared" ref="N16:R16" ca="1" si="25">IF(OR($AA$1="",D16=""),"",D16-$AA$1)</f>
        <v>-274</v>
      </c>
      <c r="O16" s="32">
        <f t="shared" ca="1" si="25"/>
        <v>-274</v>
      </c>
      <c r="P16" s="32">
        <f t="shared" ca="1" si="25"/>
        <v>-261</v>
      </c>
      <c r="Q16" s="32">
        <f t="shared" ca="1" si="25"/>
        <v>-261</v>
      </c>
      <c r="R16" s="32">
        <f t="shared" ca="1" si="25"/>
        <v>-43</v>
      </c>
      <c r="S16" s="195"/>
      <c r="T16" s="33">
        <f t="shared" ref="T16:X16" ca="1" si="26">COUNTIF(N16, "&lt;30")</f>
        <v>1</v>
      </c>
      <c r="U16" s="33">
        <f t="shared" ca="1" si="26"/>
        <v>1</v>
      </c>
      <c r="V16" s="33">
        <f t="shared" ca="1" si="26"/>
        <v>1</v>
      </c>
      <c r="W16" s="33">
        <f t="shared" ca="1" si="26"/>
        <v>1</v>
      </c>
      <c r="X16" s="33">
        <f t="shared" ca="1" si="26"/>
        <v>1</v>
      </c>
      <c r="Y16" s="34">
        <f t="shared" ca="1" si="2"/>
        <v>5</v>
      </c>
      <c r="Z16" s="52"/>
      <c r="AA16" s="47"/>
      <c r="AB16" s="47"/>
      <c r="AC16" s="47"/>
    </row>
    <row r="17" spans="1:29" ht="15.75" customHeight="1">
      <c r="A17" s="3">
        <v>14</v>
      </c>
      <c r="B17" s="3" t="s">
        <v>56</v>
      </c>
      <c r="C17" s="22" t="s">
        <v>54</v>
      </c>
      <c r="D17" s="29">
        <f ca="1">IFERROR(
    IF(VLOOKUP(B17,'SUMBER REKAP APAR'!F:O,2,FALSE)="",
        VLOOKUP(B17,'REKAP APAR FT MAOS'!B:J,3,FALSE),
        VLOOKUP(B17,'SUMBER REKAP APAR'!F:O,2,FALSE)
    ),
    VLOOKUP(B17,'REKAP APAR FT MAOS'!B:J,3,FALSE)
)</f>
        <v>46376</v>
      </c>
      <c r="E17" s="29">
        <f ca="1">IFERROR(
    IF(VLOOKUP(B17,'SUMBER REKAP APAR'!F:O,3,FALSE)="",
        VLOOKUP(B17,'REKAP APAR FT MAOS'!B:J,4,FALSE),
        VLOOKUP(B17,'SUMBER REKAP APAR'!F:O,3,FALSE)
    ),
    VLOOKUP(B17,'REKAP APAR FT MAOS'!B:J,4,FALSE)
)</f>
        <v>46376</v>
      </c>
      <c r="F17" s="29">
        <f ca="1">IFERROR(
    IF(VLOOKUP(B17,'SUMBER REKAP APAR'!F:O,4,FALSE)="",
        VLOOKUP(B17,'REKAP APAR FT MAOS'!B:J,5,FALSE),
        VLOOKUP(B17,'SUMBER REKAP APAR'!F:O,4,FALSE)
    ),
    VLOOKUP(B17,'REKAP APAR FT MAOS'!B:J,5,FALSE)
)</f>
        <v>0</v>
      </c>
      <c r="G17" s="29">
        <f ca="1">IFERROR(
    IF(VLOOKUP(B17,'SUMBER REKAP APAR'!F:O,5,FALSE)="",
        VLOOKUP(B17,'REKAP APAR FT MAOS'!B:J,6,FALSE),
        VLOOKUP(B17,'SUMBER REKAP APAR'!F:O,5,FALSE)
    ),
    VLOOKUP(B17,'REKAP APAR FT MAOS'!B:J,6,FALSE)
)</f>
        <v>46111</v>
      </c>
      <c r="H17" s="29">
        <f ca="1">IFERROR(
    IF(VLOOKUP(B17,'SUMBER REKAP APAR'!F:O,6,FALSE)="",
        VLOOKUP(B17,'REKAP APAR FT MAOS'!B:J,7,FALSE),
        VLOOKUP(B17,'SUMBER REKAP APAR'!F:O,6,FALSE)
    ),
    VLOOKUP(B17,'REKAP APAR FT MAOS'!B:J,7,FALSE)
)</f>
        <v>46053</v>
      </c>
      <c r="I17" s="29">
        <f ca="1">IFERROR(
    IF(VLOOKUP(B17,'SUMBER REKAP APAR'!F:O,7,FALSE)="",
        VLOOKUP(B17,'REKAP APAR FT MAOS'!B:J,8,FALSE),
        VLOOKUP(B17,'SUMBER REKAP APAR'!F:O,7,FALSE)
    ),
    VLOOKUP(B17,'REKAP APAR FT MAOS'!B:J,8,FALSE)
)</f>
        <v>0</v>
      </c>
      <c r="J17" s="29">
        <f ca="1">IFERROR(
    IF(VLOOKUP(B17,'SUMBER REKAP APAR'!F:O,8,FALSE)="",
        VLOOKUP(B17,'REKAP APAR FT MAOS'!B:J,9,FALSE),
        VLOOKUP(B17,'SUMBER REKAP APAR'!F:O,8,FALSE)
    ),
    VLOOKUP(B17,'REKAP APAR FT MAOS'!B:J,9,FALSE)
)</f>
        <v>46376</v>
      </c>
      <c r="K17" s="29" t="e">
        <f ca="1">IFERROR(
    IF(VLOOKUP(B17,'SUMBER REKAP APAR'!F:O,9,FALSE)="",
        VLOOKUP(B17,'REKAP APAR FT MAOS'!B:J,10,FALSE),
        VLOOKUP(B17,'SUMBER REKAP APAR'!F:O,9,FALSE)
    ),
    VLOOKUP(B17,'REKAP APAR FT MAOS'!B:J,10,FALSE)
)</f>
        <v>#REF!</v>
      </c>
      <c r="L17" s="29" t="e">
        <f ca="1">IFERROR(
    IF(VLOOKUP(B17,'SUMBER REKAP APAR'!F:O,10,FALSE)="",
        VLOOKUP(B17,'REKAP APAR FT MAOS'!B:J,11,FALSE),
        VLOOKUP(B17,'SUMBER REKAP APAR'!F:O,10,FALSE)
    ),
    VLOOKUP(B17,'REKAP APAR FT MAOS'!B:J,11,FALSE)
)</f>
        <v>#REF!</v>
      </c>
      <c r="M17" s="29" t="e">
        <f ca="1">IFERROR(
    IF(VLOOKUP(B17,'SUMBER REKAP APAR'!F:Q,11,FALSE)="",
        VLOOKUP(B17,'REKAP APAR FT MAOS'!B:J,12,FALSE),
        VLOOKUP(B17,'SUMBER REKAP APAR'!F:Q,11,FALSE)
    ),
    VLOOKUP(B17,'REKAP APAR FT MAOS'!B:J,12,FALSE)
)</f>
        <v>#REF!</v>
      </c>
      <c r="N17" s="32">
        <f t="shared" ref="N17:R17" ca="1" si="27">IF(OR($AA$1="",D17=""),"",D17-$AA$1)</f>
        <v>79</v>
      </c>
      <c r="O17" s="32">
        <f t="shared" ca="1" si="27"/>
        <v>79</v>
      </c>
      <c r="P17" s="32">
        <f t="shared" ca="1" si="27"/>
        <v>-46297</v>
      </c>
      <c r="Q17" s="32">
        <f t="shared" ca="1" si="27"/>
        <v>-186</v>
      </c>
      <c r="R17" s="32">
        <f t="shared" ca="1" si="27"/>
        <v>-244</v>
      </c>
      <c r="S17" s="195"/>
      <c r="T17" s="33">
        <f t="shared" ref="T17:X17" ca="1" si="28">COUNTIF(N17, "&lt;30")</f>
        <v>0</v>
      </c>
      <c r="U17" s="33">
        <f t="shared" ca="1" si="28"/>
        <v>0</v>
      </c>
      <c r="V17" s="33">
        <f t="shared" ca="1" si="28"/>
        <v>1</v>
      </c>
      <c r="W17" s="33">
        <f t="shared" ca="1" si="28"/>
        <v>1</v>
      </c>
      <c r="X17" s="33">
        <f t="shared" ca="1" si="28"/>
        <v>1</v>
      </c>
      <c r="Y17" s="34">
        <f t="shared" ca="1" si="2"/>
        <v>3</v>
      </c>
      <c r="Z17" s="53"/>
      <c r="AA17" s="47"/>
      <c r="AB17" s="47"/>
      <c r="AC17" s="47"/>
    </row>
    <row r="18" spans="1:29" ht="15.75" customHeight="1">
      <c r="A18" s="3">
        <v>15</v>
      </c>
      <c r="B18" s="3" t="s">
        <v>53</v>
      </c>
      <c r="C18" s="22" t="s">
        <v>54</v>
      </c>
      <c r="D18" s="29">
        <f ca="1">IFERROR(
    IF(VLOOKUP(B18,'SUMBER REKAP APAR'!F:O,2,FALSE)="",
        VLOOKUP(B18,'REKAP APAR FT MAOS'!B:J,3,FALSE),
        VLOOKUP(B18,'SUMBER REKAP APAR'!F:O,2,FALSE)
    ),
    VLOOKUP(B18,'REKAP APAR FT MAOS'!B:J,3,FALSE)
)</f>
        <v>46292</v>
      </c>
      <c r="E18" s="29">
        <f ca="1">IFERROR(
    IF(VLOOKUP(B18,'SUMBER REKAP APAR'!F:O,3,FALSE)="",
        VLOOKUP(B18,'REKAP APAR FT MAOS'!B:J,4,FALSE),
        VLOOKUP(B18,'SUMBER REKAP APAR'!F:O,3,FALSE)
    ),
    VLOOKUP(B18,'REKAP APAR FT MAOS'!B:J,4,FALSE)
)</f>
        <v>46292</v>
      </c>
      <c r="F18" s="29">
        <f ca="1">IFERROR(
    IF(VLOOKUP(B18,'SUMBER REKAP APAR'!F:O,4,FALSE)="",
        VLOOKUP(B18,'REKAP APAR FT MAOS'!B:J,5,FALSE),
        VLOOKUP(B18,'SUMBER REKAP APAR'!F:O,4,FALSE)
    ),
    VLOOKUP(B18,'REKAP APAR FT MAOS'!B:J,5,FALSE)
)</f>
        <v>46111</v>
      </c>
      <c r="G18" s="29">
        <f ca="1">IFERROR(
    IF(VLOOKUP(B18,'SUMBER REKAP APAR'!F:O,5,FALSE)="",
        VLOOKUP(B18,'REKAP APAR FT MAOS'!B:J,6,FALSE),
        VLOOKUP(B18,'SUMBER REKAP APAR'!F:O,5,FALSE)
    ),
    VLOOKUP(B18,'REKAP APAR FT MAOS'!B:J,6,FALSE)
)</f>
        <v>46111</v>
      </c>
      <c r="H18" s="29">
        <f ca="1">IFERROR(
    IF(VLOOKUP(B18,'SUMBER REKAP APAR'!F:O,6,FALSE)="",
        VLOOKUP(B18,'REKAP APAR FT MAOS'!B:J,7,FALSE),
        VLOOKUP(B18,'SUMBER REKAP APAR'!F:O,6,FALSE)
    ),
    VLOOKUP(B18,'REKAP APAR FT MAOS'!B:J,7,FALSE)
)</f>
        <v>46292</v>
      </c>
      <c r="I18" s="29">
        <f ca="1">IFERROR(
    IF(VLOOKUP(B18,'SUMBER REKAP APAR'!F:O,7,FALSE)="",
        VLOOKUP(B18,'REKAP APAR FT MAOS'!B:J,8,FALSE),
        VLOOKUP(B18,'SUMBER REKAP APAR'!F:O,7,FALSE)
    ),
    VLOOKUP(B18,'REKAP APAR FT MAOS'!B:J,8,FALSE)
)</f>
        <v>0</v>
      </c>
      <c r="J18" s="29">
        <f ca="1">IFERROR(
    IF(VLOOKUP(B18,'SUMBER REKAP APAR'!F:O,8,FALSE)="",
        VLOOKUP(B18,'REKAP APAR FT MAOS'!B:J,9,FALSE),
        VLOOKUP(B18,'SUMBER REKAP APAR'!F:O,8,FALSE)
    ),
    VLOOKUP(B18,'REKAP APAR FT MAOS'!B:J,9,FALSE)
)</f>
        <v>46292</v>
      </c>
      <c r="K18" s="29" t="e">
        <f ca="1">IFERROR(
    IF(VLOOKUP(B18,'SUMBER REKAP APAR'!F:O,9,FALSE)="",
        VLOOKUP(B18,'REKAP APAR FT MAOS'!B:J,10,FALSE),
        VLOOKUP(B18,'SUMBER REKAP APAR'!F:O,9,FALSE)
    ),
    VLOOKUP(B18,'REKAP APAR FT MAOS'!B:J,10,FALSE)
)</f>
        <v>#REF!</v>
      </c>
      <c r="L18" s="29" t="e">
        <f ca="1">IFERROR(
    IF(VLOOKUP(B18,'SUMBER REKAP APAR'!F:O,10,FALSE)="",
        VLOOKUP(B18,'REKAP APAR FT MAOS'!B:J,11,FALSE),
        VLOOKUP(B18,'SUMBER REKAP APAR'!F:O,10,FALSE)
    ),
    VLOOKUP(B18,'REKAP APAR FT MAOS'!B:J,11,FALSE)
)</f>
        <v>#REF!</v>
      </c>
      <c r="M18" s="29" t="e">
        <f ca="1">IFERROR(
    IF(VLOOKUP(B18,'SUMBER REKAP APAR'!F:Q,11,FALSE)="",
        VLOOKUP(B18,'REKAP APAR FT MAOS'!B:J,12,FALSE),
        VLOOKUP(B18,'SUMBER REKAP APAR'!F:Q,11,FALSE)
    ),
    VLOOKUP(B18,'REKAP APAR FT MAOS'!B:J,12,FALSE)
)</f>
        <v>#REF!</v>
      </c>
      <c r="N18" s="32">
        <f t="shared" ref="N18:R18" ca="1" si="29">IF(OR($AA$1="",D18=""),"",D18-$AA$1)</f>
        <v>-5</v>
      </c>
      <c r="O18" s="32">
        <f t="shared" ca="1" si="29"/>
        <v>-5</v>
      </c>
      <c r="P18" s="32">
        <f t="shared" ca="1" si="29"/>
        <v>-186</v>
      </c>
      <c r="Q18" s="32">
        <f t="shared" ca="1" si="29"/>
        <v>-186</v>
      </c>
      <c r="R18" s="32">
        <f t="shared" ca="1" si="29"/>
        <v>-5</v>
      </c>
      <c r="S18" s="195"/>
      <c r="T18" s="33">
        <f t="shared" ref="T18:X18" ca="1" si="30">COUNTIF(N18, "&lt;30")</f>
        <v>1</v>
      </c>
      <c r="U18" s="33">
        <f t="shared" ca="1" si="30"/>
        <v>1</v>
      </c>
      <c r="V18" s="33">
        <f t="shared" ca="1" si="30"/>
        <v>1</v>
      </c>
      <c r="W18" s="33">
        <f t="shared" ca="1" si="30"/>
        <v>1</v>
      </c>
      <c r="X18" s="33">
        <f t="shared" ca="1" si="30"/>
        <v>1</v>
      </c>
      <c r="Y18" s="34">
        <f t="shared" ca="1" si="2"/>
        <v>5</v>
      </c>
      <c r="Z18" s="52"/>
      <c r="AA18" s="47"/>
      <c r="AB18" s="47"/>
      <c r="AC18" s="47"/>
    </row>
    <row r="19" spans="1:29" ht="15.75" customHeight="1">
      <c r="A19" s="3">
        <v>16</v>
      </c>
      <c r="B19" s="3" t="s">
        <v>58</v>
      </c>
      <c r="C19" s="22" t="s">
        <v>54</v>
      </c>
      <c r="D19" s="29">
        <f ca="1">IFERROR(
    IF(VLOOKUP(B19,'SUMBER REKAP APAR'!F:O,2,FALSE)="",
        VLOOKUP(B19,'REKAP APAR FT MAOS'!B:J,3,FALSE),
        VLOOKUP(B19,'SUMBER REKAP APAR'!F:O,2,FALSE)
    ),
    VLOOKUP(B19,'REKAP APAR FT MAOS'!B:J,3,FALSE)
)</f>
        <v>46446</v>
      </c>
      <c r="E19" s="29">
        <f ca="1">IFERROR(
    IF(VLOOKUP(B19,'SUMBER REKAP APAR'!F:O,3,FALSE)="",
        VLOOKUP(B19,'REKAP APAR FT MAOS'!B:J,4,FALSE),
        VLOOKUP(B19,'SUMBER REKAP APAR'!F:O,3,FALSE)
    ),
    VLOOKUP(B19,'REKAP APAR FT MAOS'!B:J,4,FALSE)
)</f>
        <v>46446</v>
      </c>
      <c r="F19" s="29">
        <f ca="1">IFERROR(
    IF(VLOOKUP(B19,'SUMBER REKAP APAR'!F:O,4,FALSE)="",
        VLOOKUP(B19,'REKAP APAR FT MAOS'!B:J,5,FALSE),
        VLOOKUP(B19,'SUMBER REKAP APAR'!F:O,4,FALSE)
    ),
    VLOOKUP(B19,'REKAP APAR FT MAOS'!B:J,5,FALSE)
)</f>
        <v>0</v>
      </c>
      <c r="G19" s="29">
        <f ca="1">IFERROR(
    IF(VLOOKUP(B19,'SUMBER REKAP APAR'!F:O,5,FALSE)="",
        VLOOKUP(B19,'REKAP APAR FT MAOS'!B:J,6,FALSE),
        VLOOKUP(B19,'SUMBER REKAP APAR'!F:O,5,FALSE)
    ),
    VLOOKUP(B19,'REKAP APAR FT MAOS'!B:J,6,FALSE)
)</f>
        <v>0</v>
      </c>
      <c r="H19" s="29">
        <f ca="1">IFERROR(
    IF(VLOOKUP(B19,'SUMBER REKAP APAR'!F:O,6,FALSE)="",
        VLOOKUP(B19,'REKAP APAR FT MAOS'!B:J,7,FALSE),
        VLOOKUP(B19,'SUMBER REKAP APAR'!F:O,6,FALSE)
    ),
    VLOOKUP(B19,'REKAP APAR FT MAOS'!B:J,7,FALSE)
)</f>
        <v>46446</v>
      </c>
      <c r="I19" s="29">
        <f ca="1">IFERROR(
    IF(VLOOKUP(B19,'SUMBER REKAP APAR'!F:O,7,FALSE)="",
        VLOOKUP(B19,'REKAP APAR FT MAOS'!B:J,8,FALSE),
        VLOOKUP(B19,'SUMBER REKAP APAR'!F:O,7,FALSE)
    ),
    VLOOKUP(B19,'REKAP APAR FT MAOS'!B:J,8,FALSE)
)</f>
        <v>0</v>
      </c>
      <c r="J19" s="29">
        <f ca="1">IFERROR(
    IF(VLOOKUP(B19,'SUMBER REKAP APAR'!F:O,8,FALSE)="",
        VLOOKUP(B19,'REKAP APAR FT MAOS'!B:J,9,FALSE),
        VLOOKUP(B19,'SUMBER REKAP APAR'!F:O,8,FALSE)
    ),
    VLOOKUP(B19,'REKAP APAR FT MAOS'!B:J,9,FALSE)
)</f>
        <v>46446</v>
      </c>
      <c r="K19" s="29">
        <f ca="1">IFERROR(
    IF(VLOOKUP(B19,'SUMBER REKAP APAR'!F:O,9,FALSE)="",
        VLOOKUP(B19,'REKAP APAR FT MAOS'!B:J,10,FALSE),
        VLOOKUP(B19,'SUMBER REKAP APAR'!F:O,9,FALSE)
    ),
    VLOOKUP(B19,'REKAP APAR FT MAOS'!B:J,10,FALSE)
)</f>
        <v>46055</v>
      </c>
      <c r="L19" s="29">
        <f ca="1">IFERROR(
    IF(VLOOKUP(B19,'SUMBER REKAP APAR'!F:O,10,FALSE)="",
        VLOOKUP(B19,'REKAP APAR FT MAOS'!B:J,11,FALSE),
        VLOOKUP(B19,'SUMBER REKAP APAR'!F:O,10,FALSE)
    ),
    VLOOKUP(B19,'REKAP APAR FT MAOS'!B:J,11,FALSE)
)</f>
        <v>46055</v>
      </c>
      <c r="M19" s="29" t="e">
        <f ca="1">IFERROR(
    IF(VLOOKUP(B19,'SUMBER REKAP APAR'!F:Q,11,FALSE)="",
        VLOOKUP(B19,'REKAP APAR FT MAOS'!B:J,12,FALSE),
        VLOOKUP(B19,'SUMBER REKAP APAR'!F:Q,11,FALSE)
    ),
    VLOOKUP(B19,'REKAP APAR FT MAOS'!B:J,12,FALSE)
)</f>
        <v>#REF!</v>
      </c>
      <c r="N19" s="32">
        <f t="shared" ref="N19:R19" ca="1" si="31">IF(OR($AA$1="",D19=""),"",D19-$AA$1)</f>
        <v>149</v>
      </c>
      <c r="O19" s="32">
        <f t="shared" ca="1" si="31"/>
        <v>149</v>
      </c>
      <c r="P19" s="32">
        <f t="shared" ca="1" si="31"/>
        <v>-46297</v>
      </c>
      <c r="Q19" s="32">
        <f t="shared" ca="1" si="31"/>
        <v>-46297</v>
      </c>
      <c r="R19" s="32">
        <f t="shared" ca="1" si="31"/>
        <v>149</v>
      </c>
      <c r="S19" s="195"/>
      <c r="T19" s="33">
        <f t="shared" ref="T19:X19" ca="1" si="32">COUNTIF(N19, "&lt;30")</f>
        <v>0</v>
      </c>
      <c r="U19" s="33">
        <f t="shared" ca="1" si="32"/>
        <v>0</v>
      </c>
      <c r="V19" s="33">
        <f t="shared" ca="1" si="32"/>
        <v>1</v>
      </c>
      <c r="W19" s="33">
        <f t="shared" ca="1" si="32"/>
        <v>1</v>
      </c>
      <c r="X19" s="33">
        <f t="shared" ca="1" si="32"/>
        <v>0</v>
      </c>
      <c r="Y19" s="34">
        <f t="shared" ca="1" si="2"/>
        <v>2</v>
      </c>
      <c r="Z19" s="52"/>
      <c r="AA19" s="47"/>
      <c r="AB19" s="47"/>
      <c r="AC19" s="47"/>
    </row>
    <row r="20" spans="1:29" ht="15.75" customHeight="1">
      <c r="A20" s="3">
        <v>17</v>
      </c>
      <c r="B20" s="3" t="s">
        <v>60</v>
      </c>
      <c r="C20" s="22" t="s">
        <v>54</v>
      </c>
      <c r="D20" s="29">
        <f ca="1">IFERROR(
    IF(VLOOKUP(B20,'SUMBER REKAP APAR'!F:O,2,FALSE)="",
        VLOOKUP(B20,'REKAP APAR FT MAOS'!B:J,3,FALSE),
        VLOOKUP(B20,'SUMBER REKAP APAR'!F:O,2,FALSE)
    ),
    VLOOKUP(B20,'REKAP APAR FT MAOS'!B:J,3,FALSE)
)</f>
        <v>45991</v>
      </c>
      <c r="E20" s="29">
        <f ca="1">IFERROR(
    IF(VLOOKUP(B20,'SUMBER REKAP APAR'!F:O,3,FALSE)="",
        VLOOKUP(B20,'REKAP APAR FT MAOS'!B:J,4,FALSE),
        VLOOKUP(B20,'SUMBER REKAP APAR'!F:O,3,FALSE)
    ),
    VLOOKUP(B20,'REKAP APAR FT MAOS'!B:J,4,FALSE)
)</f>
        <v>45991</v>
      </c>
      <c r="F20" s="29">
        <f ca="1">IFERROR(
    IF(VLOOKUP(B20,'SUMBER REKAP APAR'!F:O,4,FALSE)="",
        VLOOKUP(B20,'REKAP APAR FT MAOS'!B:J,5,FALSE),
        VLOOKUP(B20,'SUMBER REKAP APAR'!F:O,4,FALSE)
    ),
    VLOOKUP(B20,'REKAP APAR FT MAOS'!B:J,5,FALSE)
)</f>
        <v>46055</v>
      </c>
      <c r="G20" s="29">
        <f ca="1">IFERROR(
    IF(VLOOKUP(B20,'SUMBER REKAP APAR'!F:O,5,FALSE)="",
        VLOOKUP(B20,'REKAP APAR FT MAOS'!B:J,6,FALSE),
        VLOOKUP(B20,'SUMBER REKAP APAR'!F:O,5,FALSE)
    ),
    VLOOKUP(B20,'REKAP APAR FT MAOS'!B:J,6,FALSE)
)</f>
        <v>0</v>
      </c>
      <c r="H20" s="29">
        <f ca="1">IFERROR(
    IF(VLOOKUP(B20,'SUMBER REKAP APAR'!F:O,6,FALSE)="",
        VLOOKUP(B20,'REKAP APAR FT MAOS'!B:J,7,FALSE),
        VLOOKUP(B20,'SUMBER REKAP APAR'!F:O,6,FALSE)
    ),
    VLOOKUP(B20,'REKAP APAR FT MAOS'!B:J,7,FALSE)
)</f>
        <v>0</v>
      </c>
      <c r="I20" s="29">
        <f ca="1">IFERROR(
    IF(VLOOKUP(B20,'SUMBER REKAP APAR'!F:O,7,FALSE)="",
        VLOOKUP(B20,'REKAP APAR FT MAOS'!B:J,8,FALSE),
        VLOOKUP(B20,'SUMBER REKAP APAR'!F:O,7,FALSE)
    ),
    VLOOKUP(B20,'REKAP APAR FT MAOS'!B:J,8,FALSE)
)</f>
        <v>0</v>
      </c>
      <c r="J20" s="29">
        <f ca="1">IFERROR(
    IF(VLOOKUP(B20,'SUMBER REKAP APAR'!F:O,8,FALSE)="",
        VLOOKUP(B20,'REKAP APAR FT MAOS'!B:J,9,FALSE),
        VLOOKUP(B20,'SUMBER REKAP APAR'!F:O,8,FALSE)
    ),
    VLOOKUP(B20,'REKAP APAR FT MAOS'!B:J,9,FALSE)
)</f>
        <v>46283</v>
      </c>
      <c r="K20" s="29">
        <f ca="1">IFERROR(
    IF(VLOOKUP(B20,'SUMBER REKAP APAR'!F:O,9,FALSE)="",
        VLOOKUP(B20,'REKAP APAR FT MAOS'!B:J,10,FALSE),
        VLOOKUP(B20,'SUMBER REKAP APAR'!F:O,9,FALSE)
    ),
    VLOOKUP(B20,'REKAP APAR FT MAOS'!B:J,10,FALSE)
)</f>
        <v>46055</v>
      </c>
      <c r="L20" s="29" t="e">
        <f ca="1">IFERROR(
    IF(VLOOKUP(B20,'SUMBER REKAP APAR'!F:O,10,FALSE)="",
        VLOOKUP(B20,'REKAP APAR FT MAOS'!B:J,11,FALSE),
        VLOOKUP(B20,'SUMBER REKAP APAR'!F:O,10,FALSE)
    ),
    VLOOKUP(B20,'REKAP APAR FT MAOS'!B:J,11,FALSE)
)</f>
        <v>#REF!</v>
      </c>
      <c r="M20" s="29" t="e">
        <f ca="1">IFERROR(
    IF(VLOOKUP(B20,'SUMBER REKAP APAR'!F:Q,11,FALSE)="",
        VLOOKUP(B20,'REKAP APAR FT MAOS'!B:J,12,FALSE),
        VLOOKUP(B20,'SUMBER REKAP APAR'!F:Q,11,FALSE)
    ),
    VLOOKUP(B20,'REKAP APAR FT MAOS'!B:J,12,FALSE)
)</f>
        <v>#REF!</v>
      </c>
      <c r="N20" s="32">
        <f t="shared" ref="N20:R20" ca="1" si="33">IF(OR($AA$1="",D20=""),"",D20-$AA$1)</f>
        <v>-306</v>
      </c>
      <c r="O20" s="32">
        <f t="shared" ca="1" si="33"/>
        <v>-306</v>
      </c>
      <c r="P20" s="32">
        <f t="shared" ca="1" si="33"/>
        <v>-242</v>
      </c>
      <c r="Q20" s="32">
        <f t="shared" ca="1" si="33"/>
        <v>-46297</v>
      </c>
      <c r="R20" s="32">
        <f t="shared" ca="1" si="33"/>
        <v>-46297</v>
      </c>
      <c r="S20" s="195"/>
      <c r="T20" s="33">
        <f t="shared" ref="T20:X20" ca="1" si="34">COUNTIF(N20, "&lt;30")</f>
        <v>1</v>
      </c>
      <c r="U20" s="33">
        <f t="shared" ca="1" si="34"/>
        <v>1</v>
      </c>
      <c r="V20" s="33">
        <f t="shared" ca="1" si="34"/>
        <v>1</v>
      </c>
      <c r="W20" s="33">
        <f t="shared" ca="1" si="34"/>
        <v>1</v>
      </c>
      <c r="X20" s="33">
        <f t="shared" ca="1" si="34"/>
        <v>1</v>
      </c>
      <c r="Y20" s="34">
        <f t="shared" ca="1" si="2"/>
        <v>5</v>
      </c>
      <c r="Z20" s="58"/>
      <c r="AA20" s="47"/>
      <c r="AB20" s="47"/>
      <c r="AC20" s="47"/>
    </row>
    <row r="21" spans="1:29" ht="15.75" customHeight="1">
      <c r="A21" s="3">
        <v>18</v>
      </c>
      <c r="B21" s="3" t="s">
        <v>63</v>
      </c>
      <c r="C21" s="22" t="s">
        <v>54</v>
      </c>
      <c r="D21" s="29">
        <f ca="1">IFERROR(
    IF(VLOOKUP(B21,'SUMBER REKAP APAR'!F:O,2,FALSE)="",
        VLOOKUP(B21,'REKAP APAR FT MAOS'!B:J,3,FALSE),
        VLOOKUP(B21,'SUMBER REKAP APAR'!F:O,2,FALSE)
    ),
    VLOOKUP(B21,'REKAP APAR FT MAOS'!B:J,3,FALSE)
)</f>
        <v>46292</v>
      </c>
      <c r="E21" s="29">
        <f ca="1">IFERROR(
    IF(VLOOKUP(B21,'SUMBER REKAP APAR'!F:O,3,FALSE)="",
        VLOOKUP(B21,'REKAP APAR FT MAOS'!B:J,4,FALSE),
        VLOOKUP(B21,'SUMBER REKAP APAR'!F:O,3,FALSE)
    ),
    VLOOKUP(B21,'REKAP APAR FT MAOS'!B:J,4,FALSE)
)</f>
        <v>46292</v>
      </c>
      <c r="F21" s="29">
        <f ca="1">IFERROR(
    IF(VLOOKUP(B21,'SUMBER REKAP APAR'!F:O,4,FALSE)="",
        VLOOKUP(B21,'REKAP APAR FT MAOS'!B:J,5,FALSE),
        VLOOKUP(B21,'SUMBER REKAP APAR'!F:O,4,FALSE)
    ),
    VLOOKUP(B21,'REKAP APAR FT MAOS'!B:J,5,FALSE)
)</f>
        <v>46111</v>
      </c>
      <c r="G21" s="29">
        <f ca="1">IFERROR(
    IF(VLOOKUP(B21,'SUMBER REKAP APAR'!F:O,5,FALSE)="",
        VLOOKUP(B21,'REKAP APAR FT MAOS'!B:J,6,FALSE),
        VLOOKUP(B21,'SUMBER REKAP APAR'!F:O,5,FALSE)
    ),
    VLOOKUP(B21,'REKAP APAR FT MAOS'!B:J,6,FALSE)
)</f>
        <v>46111</v>
      </c>
      <c r="H21" s="29">
        <f ca="1">IFERROR(
    IF(VLOOKUP(B21,'SUMBER REKAP APAR'!F:O,6,FALSE)="",
        VLOOKUP(B21,'REKAP APAR FT MAOS'!B:J,7,FALSE),
        VLOOKUP(B21,'SUMBER REKAP APAR'!F:O,6,FALSE)
    ),
    VLOOKUP(B21,'REKAP APAR FT MAOS'!B:J,7,FALSE)
)</f>
        <v>46254</v>
      </c>
      <c r="I21" s="29">
        <f ca="1">IFERROR(
    IF(VLOOKUP(B21,'SUMBER REKAP APAR'!F:O,7,FALSE)="",
        VLOOKUP(B21,'REKAP APAR FT MAOS'!B:J,8,FALSE),
        VLOOKUP(B21,'SUMBER REKAP APAR'!F:O,7,FALSE)
    ),
    VLOOKUP(B21,'REKAP APAR FT MAOS'!B:J,8,FALSE)
)</f>
        <v>0</v>
      </c>
      <c r="J21" s="29">
        <f ca="1">IFERROR(
    IF(VLOOKUP(B21,'SUMBER REKAP APAR'!F:O,8,FALSE)="",
        VLOOKUP(B21,'REKAP APAR FT MAOS'!B:J,9,FALSE),
        VLOOKUP(B21,'SUMBER REKAP APAR'!F:O,8,FALSE)
    ),
    VLOOKUP(B21,'REKAP APAR FT MAOS'!B:J,9,FALSE)
)</f>
        <v>46292</v>
      </c>
      <c r="K21" s="29" t="e">
        <f ca="1">IFERROR(
    IF(VLOOKUP(B21,'SUMBER REKAP APAR'!F:O,9,FALSE)="",
        VLOOKUP(B21,'REKAP APAR FT MAOS'!B:J,10,FALSE),
        VLOOKUP(B21,'SUMBER REKAP APAR'!F:O,9,FALSE)
    ),
    VLOOKUP(B21,'REKAP APAR FT MAOS'!B:J,10,FALSE)
)</f>
        <v>#REF!</v>
      </c>
      <c r="L21" s="29" t="e">
        <f ca="1">IFERROR(
    IF(VLOOKUP(B21,'SUMBER REKAP APAR'!F:O,10,FALSE)="",
        VLOOKUP(B21,'REKAP APAR FT MAOS'!B:J,11,FALSE),
        VLOOKUP(B21,'SUMBER REKAP APAR'!F:O,10,FALSE)
    ),
    VLOOKUP(B21,'REKAP APAR FT MAOS'!B:J,11,FALSE)
)</f>
        <v>#REF!</v>
      </c>
      <c r="M21" s="29" t="e">
        <f ca="1">IFERROR(
    IF(VLOOKUP(B21,'SUMBER REKAP APAR'!F:Q,11,FALSE)="",
        VLOOKUP(B21,'REKAP APAR FT MAOS'!B:J,12,FALSE),
        VLOOKUP(B21,'SUMBER REKAP APAR'!F:Q,11,FALSE)
    ),
    VLOOKUP(B21,'REKAP APAR FT MAOS'!B:J,12,FALSE)
)</f>
        <v>#REF!</v>
      </c>
      <c r="N21" s="32">
        <f t="shared" ref="N21:R21" ca="1" si="35">IF(OR($AA$1="",D21=""),"",D21-$AA$1)</f>
        <v>-5</v>
      </c>
      <c r="O21" s="32">
        <f t="shared" ca="1" si="35"/>
        <v>-5</v>
      </c>
      <c r="P21" s="32">
        <f t="shared" ca="1" si="35"/>
        <v>-186</v>
      </c>
      <c r="Q21" s="32">
        <f t="shared" ca="1" si="35"/>
        <v>-186</v>
      </c>
      <c r="R21" s="32">
        <f t="shared" ca="1" si="35"/>
        <v>-43</v>
      </c>
      <c r="S21" s="195"/>
      <c r="T21" s="33">
        <f t="shared" ref="T21:X21" ca="1" si="36">COUNTIF(N21, "&lt;30")</f>
        <v>1</v>
      </c>
      <c r="U21" s="33">
        <f t="shared" ca="1" si="36"/>
        <v>1</v>
      </c>
      <c r="V21" s="33">
        <f t="shared" ca="1" si="36"/>
        <v>1</v>
      </c>
      <c r="W21" s="33">
        <f t="shared" ca="1" si="36"/>
        <v>1</v>
      </c>
      <c r="X21" s="33">
        <f t="shared" ca="1" si="36"/>
        <v>1</v>
      </c>
      <c r="Y21" s="34">
        <f t="shared" ca="1" si="2"/>
        <v>5</v>
      </c>
      <c r="Z21" s="52"/>
      <c r="AA21" s="47"/>
      <c r="AB21" s="47"/>
      <c r="AC21" s="47"/>
    </row>
    <row r="22" spans="1:29" ht="15.75" customHeight="1">
      <c r="A22" s="3">
        <v>19</v>
      </c>
      <c r="B22" s="3" t="s">
        <v>72</v>
      </c>
      <c r="C22" s="22" t="s">
        <v>45</v>
      </c>
      <c r="D22" s="29">
        <f ca="1">IFERROR(
    IF(VLOOKUP(B22,'SUMBER REKAP APAR'!F:O,2,FALSE)="",
        VLOOKUP(B22,'REKAP APAR FT MAOS'!B:J,3,FALSE),
        VLOOKUP(B22,'SUMBER REKAP APAR'!F:O,2,FALSE)
    ),
    VLOOKUP(B22,'REKAP APAR FT MAOS'!B:J,3,FALSE)
)</f>
        <v>45978</v>
      </c>
      <c r="E22" s="29">
        <f ca="1">IFERROR(
    IF(VLOOKUP(B22,'SUMBER REKAP APAR'!F:O,3,FALSE)="",
        VLOOKUP(B22,'REKAP APAR FT MAOS'!B:J,4,FALSE),
        VLOOKUP(B22,'SUMBER REKAP APAR'!F:O,3,FALSE)
    ),
    VLOOKUP(B22,'REKAP APAR FT MAOS'!B:J,4,FALSE)
)</f>
        <v>45978</v>
      </c>
      <c r="F22" s="29">
        <f ca="1">IFERROR(
    IF(VLOOKUP(B22,'SUMBER REKAP APAR'!F:O,4,FALSE)="",
        VLOOKUP(B22,'REKAP APAR FT MAOS'!B:J,5,FALSE),
        VLOOKUP(B22,'SUMBER REKAP APAR'!F:O,4,FALSE)
    ),
    VLOOKUP(B22,'REKAP APAR FT MAOS'!B:J,5,FALSE)
)</f>
        <v>0</v>
      </c>
      <c r="G22" s="29">
        <f ca="1">IFERROR(
    IF(VLOOKUP(B22,'SUMBER REKAP APAR'!F:O,5,FALSE)="",
        VLOOKUP(B22,'REKAP APAR FT MAOS'!B:J,6,FALSE),
        VLOOKUP(B22,'SUMBER REKAP APAR'!F:O,5,FALSE)
    ),
    VLOOKUP(B22,'REKAP APAR FT MAOS'!B:J,6,FALSE)
)</f>
        <v>0</v>
      </c>
      <c r="H22" s="29">
        <f ca="1">IFERROR(
    IF(VLOOKUP(B22,'SUMBER REKAP APAR'!F:O,6,FALSE)="",
        VLOOKUP(B22,'REKAP APAR FT MAOS'!B:J,7,FALSE),
        VLOOKUP(B22,'SUMBER REKAP APAR'!F:O,6,FALSE)
    ),
    VLOOKUP(B22,'REKAP APAR FT MAOS'!B:J,7,FALSE)
)</f>
        <v>46325</v>
      </c>
      <c r="I22" s="29">
        <f ca="1">IFERROR(
    IF(VLOOKUP(B22,'SUMBER REKAP APAR'!F:O,7,FALSE)="",
        VLOOKUP(B22,'REKAP APAR FT MAOS'!B:J,8,FALSE),
        VLOOKUP(B22,'SUMBER REKAP APAR'!F:O,7,FALSE)
    ),
    VLOOKUP(B22,'REKAP APAR FT MAOS'!B:J,8,FALSE)
)</f>
        <v>0</v>
      </c>
      <c r="J22" s="29">
        <f ca="1">IFERROR(
    IF(VLOOKUP(B22,'SUMBER REKAP APAR'!F:O,8,FALSE)="",
        VLOOKUP(B22,'REKAP APAR FT MAOS'!B:J,9,FALSE),
        VLOOKUP(B22,'SUMBER REKAP APAR'!F:O,8,FALSE)
    ),
    VLOOKUP(B22,'REKAP APAR FT MAOS'!B:J,9,FALSE)
)</f>
        <v>46283</v>
      </c>
      <c r="K22" s="29">
        <f ca="1">IFERROR(
    IF(VLOOKUP(B22,'SUMBER REKAP APAR'!F:O,9,FALSE)="",
        VLOOKUP(B22,'REKAP APAR FT MAOS'!B:J,10,FALSE),
        VLOOKUP(B22,'SUMBER REKAP APAR'!F:O,9,FALSE)
    ),
    VLOOKUP(B22,'REKAP APAR FT MAOS'!B:J,10,FALSE)
)</f>
        <v>46081</v>
      </c>
      <c r="L22" s="29">
        <f ca="1">IFERROR(
    IF(VLOOKUP(B22,'SUMBER REKAP APAR'!F:O,10,FALSE)="",
        VLOOKUP(B22,'REKAP APAR FT MAOS'!B:J,11,FALSE),
        VLOOKUP(B22,'SUMBER REKAP APAR'!F:O,10,FALSE)
    ),
    VLOOKUP(B22,'REKAP APAR FT MAOS'!B:J,11,FALSE)
)</f>
        <v>46081</v>
      </c>
      <c r="M22" s="29" t="e">
        <f ca="1">IFERROR(
    IF(VLOOKUP(B22,'SUMBER REKAP APAR'!F:Q,11,FALSE)="",
        VLOOKUP(B22,'REKAP APAR FT MAOS'!B:J,12,FALSE),
        VLOOKUP(B22,'SUMBER REKAP APAR'!F:Q,11,FALSE)
    ),
    VLOOKUP(B22,'REKAP APAR FT MAOS'!B:J,12,FALSE)
)</f>
        <v>#REF!</v>
      </c>
      <c r="N22" s="32">
        <f t="shared" ref="N22:R22" ca="1" si="37">IF(OR($AA$1="",D22=""),"",D22-$AA$1)</f>
        <v>-319</v>
      </c>
      <c r="O22" s="32">
        <f t="shared" ca="1" si="37"/>
        <v>-319</v>
      </c>
      <c r="P22" s="32">
        <f t="shared" ca="1" si="37"/>
        <v>-46297</v>
      </c>
      <c r="Q22" s="32">
        <f t="shared" ca="1" si="37"/>
        <v>-46297</v>
      </c>
      <c r="R22" s="32">
        <f t="shared" ca="1" si="37"/>
        <v>28</v>
      </c>
      <c r="S22" s="195"/>
      <c r="T22" s="33">
        <f t="shared" ref="T22:X22" ca="1" si="38">COUNTIF(N22, "&lt;30")</f>
        <v>1</v>
      </c>
      <c r="U22" s="33">
        <f t="shared" ca="1" si="38"/>
        <v>1</v>
      </c>
      <c r="V22" s="33">
        <f t="shared" ca="1" si="38"/>
        <v>1</v>
      </c>
      <c r="W22" s="33">
        <f t="shared" ca="1" si="38"/>
        <v>1</v>
      </c>
      <c r="X22" s="33">
        <f t="shared" ca="1" si="38"/>
        <v>1</v>
      </c>
      <c r="Y22" s="34">
        <f t="shared" ca="1" si="2"/>
        <v>5</v>
      </c>
      <c r="Z22" s="52"/>
      <c r="AA22" s="47"/>
      <c r="AB22" s="47"/>
      <c r="AC22" s="47"/>
    </row>
    <row r="23" spans="1:29" ht="15.75" customHeight="1">
      <c r="A23" s="3">
        <v>20</v>
      </c>
      <c r="B23" s="3" t="s">
        <v>71</v>
      </c>
      <c r="C23" s="22" t="s">
        <v>45</v>
      </c>
      <c r="D23" s="29">
        <f ca="1">IFERROR(
    IF(VLOOKUP(B23,'SUMBER REKAP APAR'!F:O,2,FALSE)="",
        VLOOKUP(B23,'REKAP APAR FT MAOS'!B:J,3,FALSE),
        VLOOKUP(B23,'SUMBER REKAP APAR'!F:O,2,FALSE)
    ),
    VLOOKUP(B23,'REKAP APAR FT MAOS'!B:J,3,FALSE)
)</f>
        <v>45978</v>
      </c>
      <c r="E23" s="29">
        <f ca="1">IFERROR(
    IF(VLOOKUP(B23,'SUMBER REKAP APAR'!F:O,3,FALSE)="",
        VLOOKUP(B23,'REKAP APAR FT MAOS'!B:J,4,FALSE),
        VLOOKUP(B23,'SUMBER REKAP APAR'!F:O,3,FALSE)
    ),
    VLOOKUP(B23,'REKAP APAR FT MAOS'!B:J,4,FALSE)
)</f>
        <v>45978</v>
      </c>
      <c r="F23" s="29">
        <f ca="1">IFERROR(
    IF(VLOOKUP(B23,'SUMBER REKAP APAR'!F:O,4,FALSE)="",
        VLOOKUP(B23,'REKAP APAR FT MAOS'!B:J,5,FALSE),
        VLOOKUP(B23,'SUMBER REKAP APAR'!F:O,4,FALSE)
    ),
    VLOOKUP(B23,'REKAP APAR FT MAOS'!B:J,5,FALSE)
)</f>
        <v>45978</v>
      </c>
      <c r="G23" s="29">
        <f ca="1">IFERROR(
    IF(VLOOKUP(B23,'SUMBER REKAP APAR'!F:O,5,FALSE)="",
        VLOOKUP(B23,'REKAP APAR FT MAOS'!B:J,6,FALSE),
        VLOOKUP(B23,'SUMBER REKAP APAR'!F:O,5,FALSE)
    ),
    VLOOKUP(B23,'REKAP APAR FT MAOS'!B:J,6,FALSE)
)</f>
        <v>0</v>
      </c>
      <c r="H23" s="29">
        <f ca="1">IFERROR(
    IF(VLOOKUP(B23,'SUMBER REKAP APAR'!F:O,6,FALSE)="",
        VLOOKUP(B23,'REKAP APAR FT MAOS'!B:J,7,FALSE),
        VLOOKUP(B23,'SUMBER REKAP APAR'!F:O,6,FALSE)
    ),
    VLOOKUP(B23,'REKAP APAR FT MAOS'!B:J,7,FALSE)
)</f>
        <v>46352</v>
      </c>
      <c r="I23" s="29">
        <f ca="1">IFERROR(
    IF(VLOOKUP(B23,'SUMBER REKAP APAR'!F:O,7,FALSE)="",
        VLOOKUP(B23,'REKAP APAR FT MAOS'!B:J,8,FALSE),
        VLOOKUP(B23,'SUMBER REKAP APAR'!F:O,7,FALSE)
    ),
    VLOOKUP(B23,'REKAP APAR FT MAOS'!B:J,8,FALSE)
)</f>
        <v>0</v>
      </c>
      <c r="J23" s="29">
        <f ca="1">IFERROR(
    IF(VLOOKUP(B23,'SUMBER REKAP APAR'!F:O,8,FALSE)="",
        VLOOKUP(B23,'REKAP APAR FT MAOS'!B:J,9,FALSE),
        VLOOKUP(B23,'SUMBER REKAP APAR'!F:O,8,FALSE)
    ),
    VLOOKUP(B23,'REKAP APAR FT MAOS'!B:J,9,FALSE)
)</f>
        <v>46352</v>
      </c>
      <c r="K23" s="29">
        <f ca="1">IFERROR(
    IF(VLOOKUP(B23,'SUMBER REKAP APAR'!F:O,9,FALSE)="",
        VLOOKUP(B23,'REKAP APAR FT MAOS'!B:J,10,FALSE),
        VLOOKUP(B23,'SUMBER REKAP APAR'!F:O,9,FALSE)
    ),
    VLOOKUP(B23,'REKAP APAR FT MAOS'!B:J,10,FALSE)
)</f>
        <v>46055</v>
      </c>
      <c r="L23" s="29" t="e">
        <f ca="1">IFERROR(
    IF(VLOOKUP(B23,'SUMBER REKAP APAR'!F:O,10,FALSE)="",
        VLOOKUP(B23,'REKAP APAR FT MAOS'!B:J,11,FALSE),
        VLOOKUP(B23,'SUMBER REKAP APAR'!F:O,10,FALSE)
    ),
    VLOOKUP(B23,'REKAP APAR FT MAOS'!B:J,11,FALSE)
)</f>
        <v>#REF!</v>
      </c>
      <c r="M23" s="29" t="e">
        <f ca="1">IFERROR(
    IF(VLOOKUP(B23,'SUMBER REKAP APAR'!F:Q,11,FALSE)="",
        VLOOKUP(B23,'REKAP APAR FT MAOS'!B:J,12,FALSE),
        VLOOKUP(B23,'SUMBER REKAP APAR'!F:Q,11,FALSE)
    ),
    VLOOKUP(B23,'REKAP APAR FT MAOS'!B:J,12,FALSE)
)</f>
        <v>#REF!</v>
      </c>
      <c r="N23" s="32">
        <f t="shared" ref="N23:R23" ca="1" si="39">IF(OR($AA$1="",D23=""),"",D23-$AA$1)</f>
        <v>-319</v>
      </c>
      <c r="O23" s="32">
        <f t="shared" ca="1" si="39"/>
        <v>-319</v>
      </c>
      <c r="P23" s="32">
        <f t="shared" ca="1" si="39"/>
        <v>-319</v>
      </c>
      <c r="Q23" s="32">
        <f t="shared" ca="1" si="39"/>
        <v>-46297</v>
      </c>
      <c r="R23" s="32">
        <f t="shared" ca="1" si="39"/>
        <v>55</v>
      </c>
      <c r="S23" s="195"/>
      <c r="T23" s="33">
        <f t="shared" ref="T23:X23" ca="1" si="40">COUNTIF(N23, "&lt;30")</f>
        <v>1</v>
      </c>
      <c r="U23" s="33">
        <f t="shared" ca="1" si="40"/>
        <v>1</v>
      </c>
      <c r="V23" s="33">
        <f t="shared" ca="1" si="40"/>
        <v>1</v>
      </c>
      <c r="W23" s="33">
        <f t="shared" ca="1" si="40"/>
        <v>1</v>
      </c>
      <c r="X23" s="33">
        <f t="shared" ca="1" si="40"/>
        <v>0</v>
      </c>
      <c r="Y23" s="34">
        <f t="shared" ca="1" si="2"/>
        <v>4</v>
      </c>
    </row>
    <row r="24" spans="1:29" ht="15.75" customHeight="1">
      <c r="A24" s="158">
        <v>21</v>
      </c>
      <c r="B24" s="158" t="s">
        <v>148</v>
      </c>
      <c r="C24" s="89" t="s">
        <v>145</v>
      </c>
      <c r="D24" s="164" t="e">
        <f ca="1">IFERROR(
    IF(VLOOKUP(B24,'SUMBER REKAP APAR'!F:O,2,FALSE)="",
        VLOOKUP(B24,'REKAP APAR FT MAOS'!B:J,3,FALSE),
        VLOOKUP(B24,'SUMBER REKAP APAR'!F:O,2,FALSE)
    ),
    VLOOKUP(B24,'REKAP APAR FT MAOS'!B:J,3,FALSE)
)</f>
        <v>#N/A</v>
      </c>
      <c r="E24" s="164" t="e">
        <f ca="1">IFERROR(
    IF(VLOOKUP(B24,'SUMBER REKAP APAR'!F:O,3,FALSE)="",
        VLOOKUP(B24,'REKAP APAR FT MAOS'!B:J,4,FALSE),
        VLOOKUP(B24,'SUMBER REKAP APAR'!F:O,3,FALSE)
    ),
    VLOOKUP(B24,'REKAP APAR FT MAOS'!B:J,4,FALSE)
)</f>
        <v>#N/A</v>
      </c>
      <c r="F24" s="164" t="e">
        <f ca="1">IFERROR(
    IF(VLOOKUP(B24,'SUMBER REKAP APAR'!F:O,4,FALSE)="",
        VLOOKUP(B24,'REKAP APAR FT MAOS'!B:J,5,FALSE),
        VLOOKUP(B24,'SUMBER REKAP APAR'!F:O,4,FALSE)
    ),
    VLOOKUP(B24,'REKAP APAR FT MAOS'!B:J,5,FALSE)
)</f>
        <v>#N/A</v>
      </c>
      <c r="G24" s="164" t="e">
        <f ca="1">IFERROR(
    IF(VLOOKUP(B24,'SUMBER REKAP APAR'!F:O,5,FALSE)="",
        VLOOKUP(B24,'REKAP APAR FT MAOS'!B:J,6,FALSE),
        VLOOKUP(B24,'SUMBER REKAP APAR'!F:O,5,FALSE)
    ),
    VLOOKUP(B24,'REKAP APAR FT MAOS'!B:J,6,FALSE)
)</f>
        <v>#N/A</v>
      </c>
      <c r="H24" s="164" t="e">
        <f ca="1">IFERROR(
    IF(VLOOKUP(B24,'SUMBER REKAP APAR'!F:O,6,FALSE)="",
        VLOOKUP(B24,'REKAP APAR FT MAOS'!B:J,7,FALSE),
        VLOOKUP(B24,'SUMBER REKAP APAR'!F:O,6,FALSE)
    ),
    VLOOKUP(B24,'REKAP APAR FT MAOS'!B:J,7,FALSE)
)</f>
        <v>#N/A</v>
      </c>
      <c r="I24" s="164" t="e">
        <f ca="1">IFERROR(
    IF(VLOOKUP(B24,'SUMBER REKAP APAR'!F:O,7,FALSE)="",
        VLOOKUP(B24,'REKAP APAR FT MAOS'!B:J,8,FALSE),
        VLOOKUP(B24,'SUMBER REKAP APAR'!F:O,7,FALSE)
    ),
    VLOOKUP(B24,'REKAP APAR FT MAOS'!B:J,8,FALSE)
)</f>
        <v>#N/A</v>
      </c>
      <c r="J24" s="164" t="e">
        <f ca="1">IFERROR(
    IF(VLOOKUP(B24,'SUMBER REKAP APAR'!F:O,8,FALSE)="",
        VLOOKUP(B24,'REKAP APAR FT MAOS'!B:J,9,FALSE),
        VLOOKUP(B24,'SUMBER REKAP APAR'!F:O,8,FALSE)
    ),
    VLOOKUP(B24,'REKAP APAR FT MAOS'!B:J,9,FALSE)
)</f>
        <v>#N/A</v>
      </c>
      <c r="K24" s="164" t="e">
        <f ca="1">IFERROR(
    IF(VLOOKUP(B24,'SUMBER REKAP APAR'!F:O,9,FALSE)="",
        VLOOKUP(B24,'REKAP APAR FT MAOS'!B:J,10,FALSE),
        VLOOKUP(B24,'SUMBER REKAP APAR'!F:O,9,FALSE)
    ),
    VLOOKUP(B24,'REKAP APAR FT MAOS'!B:J,10,FALSE)
)</f>
        <v>#N/A</v>
      </c>
      <c r="L24" s="164" t="e">
        <f ca="1">IFERROR(
    IF(VLOOKUP(B24,'SUMBER REKAP APAR'!F:O,10,FALSE)="",
        VLOOKUP(B24,'REKAP APAR FT MAOS'!B:J,11,FALSE),
        VLOOKUP(B24,'SUMBER REKAP APAR'!F:O,10,FALSE)
    ),
    VLOOKUP(B24,'REKAP APAR FT MAOS'!B:J,11,FALSE)
)</f>
        <v>#N/A</v>
      </c>
      <c r="M24" s="164" t="e">
        <f ca="1">IFERROR(
    IF(VLOOKUP(B24,'SUMBER REKAP APAR'!F:Q,11,FALSE)="",
        VLOOKUP(B24,'REKAP APAR FT MAOS'!B:J,12,FALSE),
        VLOOKUP(B24,'SUMBER REKAP APAR'!F:Q,11,FALSE)
    ),
    VLOOKUP(B24,'REKAP APAR FT MAOS'!B:J,12,FALSE)
)</f>
        <v>#N/A</v>
      </c>
      <c r="N24" s="178" t="e">
        <f t="shared" ref="N24:R24" ca="1" si="41">IF(OR($AA$1="",D24=""),"",D24-$AA$1)</f>
        <v>#N/A</v>
      </c>
      <c r="O24" s="178" t="e">
        <f t="shared" ca="1" si="41"/>
        <v>#N/A</v>
      </c>
      <c r="P24" s="178" t="e">
        <f t="shared" ca="1" si="41"/>
        <v>#N/A</v>
      </c>
      <c r="Q24" s="178" t="e">
        <f t="shared" ca="1" si="41"/>
        <v>#N/A</v>
      </c>
      <c r="R24" s="178" t="e">
        <f t="shared" ca="1" si="41"/>
        <v>#N/A</v>
      </c>
      <c r="S24" s="195"/>
      <c r="T24" s="179">
        <f t="shared" ref="T24:X24" ca="1" si="42">COUNTIF(N24, "&lt;30")</f>
        <v>0</v>
      </c>
      <c r="U24" s="179">
        <f t="shared" ca="1" si="42"/>
        <v>0</v>
      </c>
      <c r="V24" s="179">
        <f t="shared" ca="1" si="42"/>
        <v>0</v>
      </c>
      <c r="W24" s="179">
        <f t="shared" ca="1" si="42"/>
        <v>0</v>
      </c>
      <c r="X24" s="179">
        <f t="shared" ca="1" si="42"/>
        <v>0</v>
      </c>
      <c r="Y24" s="180">
        <f t="shared" ca="1" si="2"/>
        <v>0</v>
      </c>
    </row>
    <row r="25" spans="1:29" ht="15.75" customHeight="1">
      <c r="A25" s="3">
        <v>22</v>
      </c>
      <c r="B25" s="3" t="s">
        <v>144</v>
      </c>
      <c r="C25" s="22" t="s">
        <v>145</v>
      </c>
      <c r="D25" s="29">
        <f ca="1">IFERROR(
    IF(VLOOKUP(B25,'SUMBER REKAP APAR'!F:O,2,FALSE)="",
        VLOOKUP(B25,'REKAP APAR FT MAOS'!B:J,3,FALSE),
        VLOOKUP(B25,'SUMBER REKAP APAR'!F:O,2,FALSE)
    ),
    VLOOKUP(B25,'REKAP APAR FT MAOS'!B:J,3,FALSE)
)</f>
        <v>46254</v>
      </c>
      <c r="E25" s="29">
        <f ca="1">IFERROR(
    IF(VLOOKUP(B25,'SUMBER REKAP APAR'!F:O,3,FALSE)="",
        VLOOKUP(B25,'REKAP APAR FT MAOS'!B:J,4,FALSE),
        VLOOKUP(B25,'SUMBER REKAP APAR'!F:O,3,FALSE)
    ),
    VLOOKUP(B25,'REKAP APAR FT MAOS'!B:J,4,FALSE)
)</f>
        <v>46254</v>
      </c>
      <c r="F25" s="29">
        <f ca="1">IFERROR(
    IF(VLOOKUP(B25,'SUMBER REKAP APAR'!F:O,4,FALSE)="",
        VLOOKUP(B25,'REKAP APAR FT MAOS'!B:J,5,FALSE),
        VLOOKUP(B25,'SUMBER REKAP APAR'!F:O,4,FALSE)
    ),
    VLOOKUP(B25,'REKAP APAR FT MAOS'!B:J,5,FALSE)
)</f>
        <v>0</v>
      </c>
      <c r="G25" s="29">
        <f ca="1">IFERROR(
    IF(VLOOKUP(B25,'SUMBER REKAP APAR'!F:O,5,FALSE)="",
        VLOOKUP(B25,'REKAP APAR FT MAOS'!B:J,6,FALSE),
        VLOOKUP(B25,'SUMBER REKAP APAR'!F:O,5,FALSE)
    ),
    VLOOKUP(B25,'REKAP APAR FT MAOS'!B:J,6,FALSE)
)</f>
        <v>0</v>
      </c>
      <c r="H25" s="29">
        <f ca="1">IFERROR(
    IF(VLOOKUP(B25,'SUMBER REKAP APAR'!F:O,6,FALSE)="",
        VLOOKUP(B25,'REKAP APAR FT MAOS'!B:J,7,FALSE),
        VLOOKUP(B25,'SUMBER REKAP APAR'!F:O,6,FALSE)
    ),
    VLOOKUP(B25,'REKAP APAR FT MAOS'!B:J,7,FALSE)
)</f>
        <v>46292</v>
      </c>
      <c r="I25" s="29">
        <f ca="1">IFERROR(
    IF(VLOOKUP(B25,'SUMBER REKAP APAR'!F:O,7,FALSE)="",
        VLOOKUP(B25,'REKAP APAR FT MAOS'!B:J,8,FALSE),
        VLOOKUP(B25,'SUMBER REKAP APAR'!F:O,7,FALSE)
    ),
    VLOOKUP(B25,'REKAP APAR FT MAOS'!B:J,8,FALSE)
)</f>
        <v>0</v>
      </c>
      <c r="J25" s="29">
        <f ca="1">IFERROR(
    IF(VLOOKUP(B25,'SUMBER REKAP APAR'!F:O,8,FALSE)="",
        VLOOKUP(B25,'REKAP APAR FT MAOS'!B:J,9,FALSE),
        VLOOKUP(B25,'SUMBER REKAP APAR'!F:O,8,FALSE)
    ),
    VLOOKUP(B25,'REKAP APAR FT MAOS'!B:J,9,FALSE)
)</f>
        <v>46418</v>
      </c>
      <c r="K25" s="29" t="e">
        <f ca="1">IFERROR(
    IF(VLOOKUP(B25,'SUMBER REKAP APAR'!F:O,9,FALSE)="",
        VLOOKUP(B25,'REKAP APAR FT MAOS'!B:J,10,FALSE),
        VLOOKUP(B25,'SUMBER REKAP APAR'!F:O,9,FALSE)
    ),
    VLOOKUP(B25,'REKAP APAR FT MAOS'!B:J,10,FALSE)
)</f>
        <v>#REF!</v>
      </c>
      <c r="L25" s="29" t="e">
        <f ca="1">IFERROR(
    IF(VLOOKUP(B25,'SUMBER REKAP APAR'!F:O,10,FALSE)="",
        VLOOKUP(B25,'REKAP APAR FT MAOS'!B:J,11,FALSE),
        VLOOKUP(B25,'SUMBER REKAP APAR'!F:O,10,FALSE)
    ),
    VLOOKUP(B25,'REKAP APAR FT MAOS'!B:J,11,FALSE)
)</f>
        <v>#REF!</v>
      </c>
      <c r="M25" s="29" t="e">
        <f ca="1">IFERROR(
    IF(VLOOKUP(B25,'SUMBER REKAP APAR'!F:Q,11,FALSE)="",
        VLOOKUP(B25,'REKAP APAR FT MAOS'!B:J,12,FALSE),
        VLOOKUP(B25,'SUMBER REKAP APAR'!F:Q,11,FALSE)
    ),
    VLOOKUP(B25,'REKAP APAR FT MAOS'!B:J,12,FALSE)
)</f>
        <v>#REF!</v>
      </c>
      <c r="N25" s="32">
        <f t="shared" ref="N25:R25" ca="1" si="43">IF(OR($AA$1="",D25=""),"",D25-$AA$1)</f>
        <v>-43</v>
      </c>
      <c r="O25" s="32">
        <f t="shared" ca="1" si="43"/>
        <v>-43</v>
      </c>
      <c r="P25" s="32">
        <f t="shared" ca="1" si="43"/>
        <v>-46297</v>
      </c>
      <c r="Q25" s="32">
        <f t="shared" ca="1" si="43"/>
        <v>-46297</v>
      </c>
      <c r="R25" s="32">
        <f t="shared" ca="1" si="43"/>
        <v>-5</v>
      </c>
      <c r="S25" s="195"/>
      <c r="T25" s="33">
        <f t="shared" ref="T25:X25" ca="1" si="44">COUNTIF(N25, "&lt;30")</f>
        <v>1</v>
      </c>
      <c r="U25" s="33">
        <f t="shared" ca="1" si="44"/>
        <v>1</v>
      </c>
      <c r="V25" s="33">
        <f t="shared" ca="1" si="44"/>
        <v>1</v>
      </c>
      <c r="W25" s="33">
        <f t="shared" ca="1" si="44"/>
        <v>1</v>
      </c>
      <c r="X25" s="33">
        <f t="shared" ca="1" si="44"/>
        <v>1</v>
      </c>
      <c r="Y25" s="34">
        <f t="shared" ca="1" si="2"/>
        <v>5</v>
      </c>
    </row>
    <row r="26" spans="1:29" ht="15.75" customHeight="1">
      <c r="A26" s="158">
        <v>23</v>
      </c>
      <c r="B26" s="158" t="s">
        <v>154</v>
      </c>
      <c r="C26" s="89" t="s">
        <v>152</v>
      </c>
      <c r="D26" s="164" t="e">
        <f ca="1">IFERROR(
    IF(VLOOKUP(B26,'SUMBER REKAP APAR'!F:O,2,FALSE)="",
        VLOOKUP(B26,'REKAP APAR FT MAOS'!B:J,3,FALSE),
        VLOOKUP(B26,'SUMBER REKAP APAR'!F:O,2,FALSE)
    ),
    VLOOKUP(B26,'REKAP APAR FT MAOS'!B:J,3,FALSE)
)</f>
        <v>#N/A</v>
      </c>
      <c r="E26" s="164" t="e">
        <f ca="1">IFERROR(
    IF(VLOOKUP(B26,'SUMBER REKAP APAR'!F:O,3,FALSE)="",
        VLOOKUP(B26,'REKAP APAR FT MAOS'!B:J,4,FALSE),
        VLOOKUP(B26,'SUMBER REKAP APAR'!F:O,3,FALSE)
    ),
    VLOOKUP(B26,'REKAP APAR FT MAOS'!B:J,4,FALSE)
)</f>
        <v>#N/A</v>
      </c>
      <c r="F26" s="164" t="e">
        <f ca="1">IFERROR(
    IF(VLOOKUP(B26,'SUMBER REKAP APAR'!F:O,4,FALSE)="",
        VLOOKUP(B26,'REKAP APAR FT MAOS'!B:J,5,FALSE),
        VLOOKUP(B26,'SUMBER REKAP APAR'!F:O,4,FALSE)
    ),
    VLOOKUP(B26,'REKAP APAR FT MAOS'!B:J,5,FALSE)
)</f>
        <v>#N/A</v>
      </c>
      <c r="G26" s="164" t="e">
        <f ca="1">IFERROR(
    IF(VLOOKUP(B26,'SUMBER REKAP APAR'!F:O,5,FALSE)="",
        VLOOKUP(B26,'REKAP APAR FT MAOS'!B:J,6,FALSE),
        VLOOKUP(B26,'SUMBER REKAP APAR'!F:O,5,FALSE)
    ),
    VLOOKUP(B26,'REKAP APAR FT MAOS'!B:J,6,FALSE)
)</f>
        <v>#N/A</v>
      </c>
      <c r="H26" s="164" t="e">
        <f ca="1">IFERROR(
    IF(VLOOKUP(B26,'SUMBER REKAP APAR'!F:O,6,FALSE)="",
        VLOOKUP(B26,'REKAP APAR FT MAOS'!B:J,7,FALSE),
        VLOOKUP(B26,'SUMBER REKAP APAR'!F:O,6,FALSE)
    ),
    VLOOKUP(B26,'REKAP APAR FT MAOS'!B:J,7,FALSE)
)</f>
        <v>#N/A</v>
      </c>
      <c r="I26" s="164" t="e">
        <f ca="1">IFERROR(
    IF(VLOOKUP(B26,'SUMBER REKAP APAR'!F:O,7,FALSE)="",
        VLOOKUP(B26,'REKAP APAR FT MAOS'!B:J,8,FALSE),
        VLOOKUP(B26,'SUMBER REKAP APAR'!F:O,7,FALSE)
    ),
    VLOOKUP(B26,'REKAP APAR FT MAOS'!B:J,8,FALSE)
)</f>
        <v>#N/A</v>
      </c>
      <c r="J26" s="164" t="e">
        <f ca="1">IFERROR(
    IF(VLOOKUP(B26,'SUMBER REKAP APAR'!F:O,8,FALSE)="",
        VLOOKUP(B26,'REKAP APAR FT MAOS'!B:J,9,FALSE),
        VLOOKUP(B26,'SUMBER REKAP APAR'!F:O,8,FALSE)
    ),
    VLOOKUP(B26,'REKAP APAR FT MAOS'!B:J,9,FALSE)
)</f>
        <v>#N/A</v>
      </c>
      <c r="K26" s="164" t="e">
        <f ca="1">IFERROR(
    IF(VLOOKUP(B26,'SUMBER REKAP APAR'!F:O,9,FALSE)="",
        VLOOKUP(B26,'REKAP APAR FT MAOS'!B:J,10,FALSE),
        VLOOKUP(B26,'SUMBER REKAP APAR'!F:O,9,FALSE)
    ),
    VLOOKUP(B26,'REKAP APAR FT MAOS'!B:J,10,FALSE)
)</f>
        <v>#N/A</v>
      </c>
      <c r="L26" s="164" t="e">
        <f ca="1">IFERROR(
    IF(VLOOKUP(B26,'SUMBER REKAP APAR'!F:O,10,FALSE)="",
        VLOOKUP(B26,'REKAP APAR FT MAOS'!B:J,11,FALSE),
        VLOOKUP(B26,'SUMBER REKAP APAR'!F:O,10,FALSE)
    ),
    VLOOKUP(B26,'REKAP APAR FT MAOS'!B:J,11,FALSE)
)</f>
        <v>#N/A</v>
      </c>
      <c r="M26" s="164" t="e">
        <f ca="1">IFERROR(
    IF(VLOOKUP(B26,'SUMBER REKAP APAR'!F:Q,11,FALSE)="",
        VLOOKUP(B26,'REKAP APAR FT MAOS'!B:J,12,FALSE),
        VLOOKUP(B26,'SUMBER REKAP APAR'!F:Q,11,FALSE)
    ),
    VLOOKUP(B26,'REKAP APAR FT MAOS'!B:J,12,FALSE)
)</f>
        <v>#N/A</v>
      </c>
      <c r="N26" s="178" t="e">
        <f t="shared" ref="N26:R26" ca="1" si="45">IF(OR($AA$1="",D26=""),"",D26-$AA$1)</f>
        <v>#N/A</v>
      </c>
      <c r="O26" s="178" t="e">
        <f t="shared" ca="1" si="45"/>
        <v>#N/A</v>
      </c>
      <c r="P26" s="178" t="e">
        <f t="shared" ca="1" si="45"/>
        <v>#N/A</v>
      </c>
      <c r="Q26" s="178" t="e">
        <f t="shared" ca="1" si="45"/>
        <v>#N/A</v>
      </c>
      <c r="R26" s="178" t="e">
        <f t="shared" ca="1" si="45"/>
        <v>#N/A</v>
      </c>
      <c r="S26" s="195"/>
      <c r="T26" s="179">
        <f t="shared" ref="T26:X26" ca="1" si="46">COUNTIF(N26, "&lt;30")</f>
        <v>0</v>
      </c>
      <c r="U26" s="179">
        <f t="shared" ca="1" si="46"/>
        <v>0</v>
      </c>
      <c r="V26" s="179">
        <f t="shared" ca="1" si="46"/>
        <v>0</v>
      </c>
      <c r="W26" s="179">
        <f t="shared" ca="1" si="46"/>
        <v>0</v>
      </c>
      <c r="X26" s="179">
        <f t="shared" ca="1" si="46"/>
        <v>0</v>
      </c>
      <c r="Y26" s="180">
        <f t="shared" ca="1" si="2"/>
        <v>0</v>
      </c>
    </row>
    <row r="27" spans="1:29" ht="15.75" customHeight="1">
      <c r="A27" s="158">
        <v>24</v>
      </c>
      <c r="B27" s="158" t="s">
        <v>156</v>
      </c>
      <c r="C27" s="89" t="s">
        <v>152</v>
      </c>
      <c r="D27" s="164" t="e">
        <f ca="1">IFERROR(
    IF(VLOOKUP(B27,'SUMBER REKAP APAR'!F:O,2,FALSE)="",
        VLOOKUP(B27,'REKAP APAR FT MAOS'!B:J,3,FALSE),
        VLOOKUP(B27,'SUMBER REKAP APAR'!F:O,2,FALSE)
    ),
    VLOOKUP(B27,'REKAP APAR FT MAOS'!B:J,3,FALSE)
)</f>
        <v>#N/A</v>
      </c>
      <c r="E27" s="164" t="e">
        <f ca="1">IFERROR(
    IF(VLOOKUP(B27,'SUMBER REKAP APAR'!F:O,3,FALSE)="",
        VLOOKUP(B27,'REKAP APAR FT MAOS'!B:J,4,FALSE),
        VLOOKUP(B27,'SUMBER REKAP APAR'!F:O,3,FALSE)
    ),
    VLOOKUP(B27,'REKAP APAR FT MAOS'!B:J,4,FALSE)
)</f>
        <v>#N/A</v>
      </c>
      <c r="F27" s="164" t="e">
        <f ca="1">IFERROR(
    IF(VLOOKUP(B27,'SUMBER REKAP APAR'!F:O,4,FALSE)="",
        VLOOKUP(B27,'REKAP APAR FT MAOS'!B:J,5,FALSE),
        VLOOKUP(B27,'SUMBER REKAP APAR'!F:O,4,FALSE)
    ),
    VLOOKUP(B27,'REKAP APAR FT MAOS'!B:J,5,FALSE)
)</f>
        <v>#N/A</v>
      </c>
      <c r="G27" s="164" t="e">
        <f ca="1">IFERROR(
    IF(VLOOKUP(B27,'SUMBER REKAP APAR'!F:O,5,FALSE)="",
        VLOOKUP(B27,'REKAP APAR FT MAOS'!B:J,6,FALSE),
        VLOOKUP(B27,'SUMBER REKAP APAR'!F:O,5,FALSE)
    ),
    VLOOKUP(B27,'REKAP APAR FT MAOS'!B:J,6,FALSE)
)</f>
        <v>#N/A</v>
      </c>
      <c r="H27" s="164" t="e">
        <f ca="1">IFERROR(
    IF(VLOOKUP(B27,'SUMBER REKAP APAR'!F:O,6,FALSE)="",
        VLOOKUP(B27,'REKAP APAR FT MAOS'!B:J,7,FALSE),
        VLOOKUP(B27,'SUMBER REKAP APAR'!F:O,6,FALSE)
    ),
    VLOOKUP(B27,'REKAP APAR FT MAOS'!B:J,7,FALSE)
)</f>
        <v>#N/A</v>
      </c>
      <c r="I27" s="164" t="e">
        <f ca="1">IFERROR(
    IF(VLOOKUP(B27,'SUMBER REKAP APAR'!F:O,7,FALSE)="",
        VLOOKUP(B27,'REKAP APAR FT MAOS'!B:J,8,FALSE),
        VLOOKUP(B27,'SUMBER REKAP APAR'!F:O,7,FALSE)
    ),
    VLOOKUP(B27,'REKAP APAR FT MAOS'!B:J,8,FALSE)
)</f>
        <v>#N/A</v>
      </c>
      <c r="J27" s="164" t="e">
        <f ca="1">IFERROR(
    IF(VLOOKUP(B27,'SUMBER REKAP APAR'!F:O,8,FALSE)="",
        VLOOKUP(B27,'REKAP APAR FT MAOS'!B:J,9,FALSE),
        VLOOKUP(B27,'SUMBER REKAP APAR'!F:O,8,FALSE)
    ),
    VLOOKUP(B27,'REKAP APAR FT MAOS'!B:J,9,FALSE)
)</f>
        <v>#N/A</v>
      </c>
      <c r="K27" s="164" t="e">
        <f ca="1">IFERROR(
    IF(VLOOKUP(B27,'SUMBER REKAP APAR'!F:O,9,FALSE)="",
        VLOOKUP(B27,'REKAP APAR FT MAOS'!B:J,10,FALSE),
        VLOOKUP(B27,'SUMBER REKAP APAR'!F:O,9,FALSE)
    ),
    VLOOKUP(B27,'REKAP APAR FT MAOS'!B:J,10,FALSE)
)</f>
        <v>#N/A</v>
      </c>
      <c r="L27" s="164" t="e">
        <f ca="1">IFERROR(
    IF(VLOOKUP(B27,'SUMBER REKAP APAR'!F:O,10,FALSE)="",
        VLOOKUP(B27,'REKAP APAR FT MAOS'!B:J,11,FALSE),
        VLOOKUP(B27,'SUMBER REKAP APAR'!F:O,10,FALSE)
    ),
    VLOOKUP(B27,'REKAP APAR FT MAOS'!B:J,11,FALSE)
)</f>
        <v>#N/A</v>
      </c>
      <c r="M27" s="164" t="e">
        <f ca="1">IFERROR(
    IF(VLOOKUP(B27,'SUMBER REKAP APAR'!F:Q,11,FALSE)="",
        VLOOKUP(B27,'REKAP APAR FT MAOS'!B:J,12,FALSE),
        VLOOKUP(B27,'SUMBER REKAP APAR'!F:Q,11,FALSE)
    ),
    VLOOKUP(B27,'REKAP APAR FT MAOS'!B:J,12,FALSE)
)</f>
        <v>#N/A</v>
      </c>
      <c r="N27" s="178" t="e">
        <f t="shared" ref="N27:R27" ca="1" si="47">IF(OR($AA$1="",D27=""),"",D27-$AA$1)</f>
        <v>#N/A</v>
      </c>
      <c r="O27" s="178" t="e">
        <f t="shared" ca="1" si="47"/>
        <v>#N/A</v>
      </c>
      <c r="P27" s="178" t="e">
        <f t="shared" ca="1" si="47"/>
        <v>#N/A</v>
      </c>
      <c r="Q27" s="178" t="e">
        <f t="shared" ca="1" si="47"/>
        <v>#N/A</v>
      </c>
      <c r="R27" s="178" t="e">
        <f t="shared" ca="1" si="47"/>
        <v>#N/A</v>
      </c>
      <c r="S27" s="195"/>
      <c r="T27" s="179">
        <f t="shared" ref="T27:X27" ca="1" si="48">COUNTIF(N27, "&lt;30")</f>
        <v>0</v>
      </c>
      <c r="U27" s="179">
        <f t="shared" ca="1" si="48"/>
        <v>0</v>
      </c>
      <c r="V27" s="179">
        <f t="shared" ca="1" si="48"/>
        <v>0</v>
      </c>
      <c r="W27" s="179">
        <f t="shared" ca="1" si="48"/>
        <v>0</v>
      </c>
      <c r="X27" s="179">
        <f t="shared" ca="1" si="48"/>
        <v>0</v>
      </c>
      <c r="Y27" s="180">
        <f t="shared" ca="1" si="2"/>
        <v>0</v>
      </c>
    </row>
    <row r="28" spans="1:29" ht="15.75" customHeight="1">
      <c r="A28" s="158">
        <v>25</v>
      </c>
      <c r="B28" s="158" t="s">
        <v>158</v>
      </c>
      <c r="C28" s="89" t="s">
        <v>152</v>
      </c>
      <c r="D28" s="164" t="e">
        <f ca="1">IFERROR(
    IF(VLOOKUP(B28,'SUMBER REKAP APAR'!F:O,2,FALSE)="",
        VLOOKUP(B28,'REKAP APAR FT MAOS'!B:J,3,FALSE),
        VLOOKUP(B28,'SUMBER REKAP APAR'!F:O,2,FALSE)
    ),
    VLOOKUP(B28,'REKAP APAR FT MAOS'!B:J,3,FALSE)
)</f>
        <v>#N/A</v>
      </c>
      <c r="E28" s="164" t="e">
        <f ca="1">IFERROR(
    IF(VLOOKUP(B28,'SUMBER REKAP APAR'!F:O,3,FALSE)="",
        VLOOKUP(B28,'REKAP APAR FT MAOS'!B:J,4,FALSE),
        VLOOKUP(B28,'SUMBER REKAP APAR'!F:O,3,FALSE)
    ),
    VLOOKUP(B28,'REKAP APAR FT MAOS'!B:J,4,FALSE)
)</f>
        <v>#N/A</v>
      </c>
      <c r="F28" s="164" t="e">
        <f ca="1">IFERROR(
    IF(VLOOKUP(B28,'SUMBER REKAP APAR'!F:O,4,FALSE)="",
        VLOOKUP(B28,'REKAP APAR FT MAOS'!B:J,5,FALSE),
        VLOOKUP(B28,'SUMBER REKAP APAR'!F:O,4,FALSE)
    ),
    VLOOKUP(B28,'REKAP APAR FT MAOS'!B:J,5,FALSE)
)</f>
        <v>#N/A</v>
      </c>
      <c r="G28" s="164" t="e">
        <f ca="1">IFERROR(
    IF(VLOOKUP(B28,'SUMBER REKAP APAR'!F:O,5,FALSE)="",
        VLOOKUP(B28,'REKAP APAR FT MAOS'!B:J,6,FALSE),
        VLOOKUP(B28,'SUMBER REKAP APAR'!F:O,5,FALSE)
    ),
    VLOOKUP(B28,'REKAP APAR FT MAOS'!B:J,6,FALSE)
)</f>
        <v>#N/A</v>
      </c>
      <c r="H28" s="164" t="e">
        <f ca="1">IFERROR(
    IF(VLOOKUP(B28,'SUMBER REKAP APAR'!F:O,6,FALSE)="",
        VLOOKUP(B28,'REKAP APAR FT MAOS'!B:J,7,FALSE),
        VLOOKUP(B28,'SUMBER REKAP APAR'!F:O,6,FALSE)
    ),
    VLOOKUP(B28,'REKAP APAR FT MAOS'!B:J,7,FALSE)
)</f>
        <v>#N/A</v>
      </c>
      <c r="I28" s="164" t="e">
        <f ca="1">IFERROR(
    IF(VLOOKUP(B28,'SUMBER REKAP APAR'!F:O,7,FALSE)="",
        VLOOKUP(B28,'REKAP APAR FT MAOS'!B:J,8,FALSE),
        VLOOKUP(B28,'SUMBER REKAP APAR'!F:O,7,FALSE)
    ),
    VLOOKUP(B28,'REKAP APAR FT MAOS'!B:J,8,FALSE)
)</f>
        <v>#N/A</v>
      </c>
      <c r="J28" s="164" t="e">
        <f ca="1">IFERROR(
    IF(VLOOKUP(B28,'SUMBER REKAP APAR'!F:O,8,FALSE)="",
        VLOOKUP(B28,'REKAP APAR FT MAOS'!B:J,9,FALSE),
        VLOOKUP(B28,'SUMBER REKAP APAR'!F:O,8,FALSE)
    ),
    VLOOKUP(B28,'REKAP APAR FT MAOS'!B:J,9,FALSE)
)</f>
        <v>#N/A</v>
      </c>
      <c r="K28" s="164" t="e">
        <f ca="1">IFERROR(
    IF(VLOOKUP(B28,'SUMBER REKAP APAR'!F:O,9,FALSE)="",
        VLOOKUP(B28,'REKAP APAR FT MAOS'!B:J,10,FALSE),
        VLOOKUP(B28,'SUMBER REKAP APAR'!F:O,9,FALSE)
    ),
    VLOOKUP(B28,'REKAP APAR FT MAOS'!B:J,10,FALSE)
)</f>
        <v>#N/A</v>
      </c>
      <c r="L28" s="164" t="e">
        <f ca="1">IFERROR(
    IF(VLOOKUP(B28,'SUMBER REKAP APAR'!F:O,10,FALSE)="",
        VLOOKUP(B28,'REKAP APAR FT MAOS'!B:J,11,FALSE),
        VLOOKUP(B28,'SUMBER REKAP APAR'!F:O,10,FALSE)
    ),
    VLOOKUP(B28,'REKAP APAR FT MAOS'!B:J,11,FALSE)
)</f>
        <v>#N/A</v>
      </c>
      <c r="M28" s="164" t="e">
        <f ca="1">IFERROR(
    IF(VLOOKUP(B28,'SUMBER REKAP APAR'!F:Q,11,FALSE)="",
        VLOOKUP(B28,'REKAP APAR FT MAOS'!B:J,12,FALSE),
        VLOOKUP(B28,'SUMBER REKAP APAR'!F:Q,11,FALSE)
    ),
    VLOOKUP(B28,'REKAP APAR FT MAOS'!B:J,12,FALSE)
)</f>
        <v>#N/A</v>
      </c>
      <c r="N28" s="178" t="e">
        <f t="shared" ref="N28:R28" ca="1" si="49">IF(OR($AA$1="",D28=""),"",D28-$AA$1)</f>
        <v>#N/A</v>
      </c>
      <c r="O28" s="178" t="e">
        <f t="shared" ca="1" si="49"/>
        <v>#N/A</v>
      </c>
      <c r="P28" s="178" t="e">
        <f t="shared" ca="1" si="49"/>
        <v>#N/A</v>
      </c>
      <c r="Q28" s="178" t="e">
        <f t="shared" ca="1" si="49"/>
        <v>#N/A</v>
      </c>
      <c r="R28" s="178" t="e">
        <f t="shared" ca="1" si="49"/>
        <v>#N/A</v>
      </c>
      <c r="S28" s="195"/>
      <c r="T28" s="179">
        <f t="shared" ref="T28:X28" ca="1" si="50">COUNTIF(N28, "&lt;30")</f>
        <v>0</v>
      </c>
      <c r="U28" s="179">
        <f t="shared" ca="1" si="50"/>
        <v>0</v>
      </c>
      <c r="V28" s="179">
        <f t="shared" ca="1" si="50"/>
        <v>0</v>
      </c>
      <c r="W28" s="179">
        <f t="shared" ca="1" si="50"/>
        <v>0</v>
      </c>
      <c r="X28" s="179">
        <f t="shared" ca="1" si="50"/>
        <v>0</v>
      </c>
      <c r="Y28" s="180">
        <f t="shared" ca="1" si="2"/>
        <v>0</v>
      </c>
    </row>
    <row r="29" spans="1:29" ht="15.75" customHeight="1">
      <c r="A29" s="158">
        <v>26</v>
      </c>
      <c r="B29" s="158" t="s">
        <v>160</v>
      </c>
      <c r="C29" s="89" t="s">
        <v>152</v>
      </c>
      <c r="D29" s="164" t="e">
        <f ca="1">IFERROR(
    IF(VLOOKUP(B29,'SUMBER REKAP APAR'!F:O,2,FALSE)="",
        VLOOKUP(B29,'REKAP APAR FT MAOS'!B:J,3,FALSE),
        VLOOKUP(B29,'SUMBER REKAP APAR'!F:O,2,FALSE)
    ),
    VLOOKUP(B29,'REKAP APAR FT MAOS'!B:J,3,FALSE)
)</f>
        <v>#N/A</v>
      </c>
      <c r="E29" s="164" t="e">
        <f ca="1">IFERROR(
    IF(VLOOKUP(B29,'SUMBER REKAP APAR'!F:O,3,FALSE)="",
        VLOOKUP(B29,'REKAP APAR FT MAOS'!B:J,4,FALSE),
        VLOOKUP(B29,'SUMBER REKAP APAR'!F:O,3,FALSE)
    ),
    VLOOKUP(B29,'REKAP APAR FT MAOS'!B:J,4,FALSE)
)</f>
        <v>#N/A</v>
      </c>
      <c r="F29" s="164" t="e">
        <f ca="1">IFERROR(
    IF(VLOOKUP(B29,'SUMBER REKAP APAR'!F:O,4,FALSE)="",
        VLOOKUP(B29,'REKAP APAR FT MAOS'!B:J,5,FALSE),
        VLOOKUP(B29,'SUMBER REKAP APAR'!F:O,4,FALSE)
    ),
    VLOOKUP(B29,'REKAP APAR FT MAOS'!B:J,5,FALSE)
)</f>
        <v>#N/A</v>
      </c>
      <c r="G29" s="164" t="e">
        <f ca="1">IFERROR(
    IF(VLOOKUP(B29,'SUMBER REKAP APAR'!F:O,5,FALSE)="",
        VLOOKUP(B29,'REKAP APAR FT MAOS'!B:J,6,FALSE),
        VLOOKUP(B29,'SUMBER REKAP APAR'!F:O,5,FALSE)
    ),
    VLOOKUP(B29,'REKAP APAR FT MAOS'!B:J,6,FALSE)
)</f>
        <v>#N/A</v>
      </c>
      <c r="H29" s="164" t="e">
        <f ca="1">IFERROR(
    IF(VLOOKUP(B29,'SUMBER REKAP APAR'!F:O,6,FALSE)="",
        VLOOKUP(B29,'REKAP APAR FT MAOS'!B:J,7,FALSE),
        VLOOKUP(B29,'SUMBER REKAP APAR'!F:O,6,FALSE)
    ),
    VLOOKUP(B29,'REKAP APAR FT MAOS'!B:J,7,FALSE)
)</f>
        <v>#N/A</v>
      </c>
      <c r="I29" s="164" t="e">
        <f ca="1">IFERROR(
    IF(VLOOKUP(B29,'SUMBER REKAP APAR'!F:O,7,FALSE)="",
        VLOOKUP(B29,'REKAP APAR FT MAOS'!B:J,8,FALSE),
        VLOOKUP(B29,'SUMBER REKAP APAR'!F:O,7,FALSE)
    ),
    VLOOKUP(B29,'REKAP APAR FT MAOS'!B:J,8,FALSE)
)</f>
        <v>#N/A</v>
      </c>
      <c r="J29" s="164" t="e">
        <f ca="1">IFERROR(
    IF(VLOOKUP(B29,'SUMBER REKAP APAR'!F:O,8,FALSE)="",
        VLOOKUP(B29,'REKAP APAR FT MAOS'!B:J,9,FALSE),
        VLOOKUP(B29,'SUMBER REKAP APAR'!F:O,8,FALSE)
    ),
    VLOOKUP(B29,'REKAP APAR FT MAOS'!B:J,9,FALSE)
)</f>
        <v>#N/A</v>
      </c>
      <c r="K29" s="164" t="e">
        <f ca="1">IFERROR(
    IF(VLOOKUP(B29,'SUMBER REKAP APAR'!F:O,9,FALSE)="",
        VLOOKUP(B29,'REKAP APAR FT MAOS'!B:J,10,FALSE),
        VLOOKUP(B29,'SUMBER REKAP APAR'!F:O,9,FALSE)
    ),
    VLOOKUP(B29,'REKAP APAR FT MAOS'!B:J,10,FALSE)
)</f>
        <v>#N/A</v>
      </c>
      <c r="L29" s="164" t="e">
        <f ca="1">IFERROR(
    IF(VLOOKUP(B29,'SUMBER REKAP APAR'!F:O,10,FALSE)="",
        VLOOKUP(B29,'REKAP APAR FT MAOS'!B:J,11,FALSE),
        VLOOKUP(B29,'SUMBER REKAP APAR'!F:O,10,FALSE)
    ),
    VLOOKUP(B29,'REKAP APAR FT MAOS'!B:J,11,FALSE)
)</f>
        <v>#N/A</v>
      </c>
      <c r="M29" s="164" t="e">
        <f ca="1">IFERROR(
    IF(VLOOKUP(B29,'SUMBER REKAP APAR'!F:Q,11,FALSE)="",
        VLOOKUP(B29,'REKAP APAR FT MAOS'!B:J,12,FALSE),
        VLOOKUP(B29,'SUMBER REKAP APAR'!F:Q,11,FALSE)
    ),
    VLOOKUP(B29,'REKAP APAR FT MAOS'!B:J,12,FALSE)
)</f>
        <v>#N/A</v>
      </c>
      <c r="N29" s="178" t="e">
        <f t="shared" ref="N29:R29" ca="1" si="51">IF(OR($AA$1="",D29=""),"",D29-$AA$1)</f>
        <v>#N/A</v>
      </c>
      <c r="O29" s="178" t="e">
        <f t="shared" ca="1" si="51"/>
        <v>#N/A</v>
      </c>
      <c r="P29" s="178" t="e">
        <f t="shared" ca="1" si="51"/>
        <v>#N/A</v>
      </c>
      <c r="Q29" s="178" t="e">
        <f t="shared" ca="1" si="51"/>
        <v>#N/A</v>
      </c>
      <c r="R29" s="178" t="e">
        <f t="shared" ca="1" si="51"/>
        <v>#N/A</v>
      </c>
      <c r="S29" s="195"/>
      <c r="T29" s="179">
        <f t="shared" ref="T29:X29" ca="1" si="52">COUNTIF(N29, "&lt;30")</f>
        <v>0</v>
      </c>
      <c r="U29" s="179">
        <f t="shared" ca="1" si="52"/>
        <v>0</v>
      </c>
      <c r="V29" s="179">
        <f t="shared" ca="1" si="52"/>
        <v>0</v>
      </c>
      <c r="W29" s="179">
        <f t="shared" ca="1" si="52"/>
        <v>0</v>
      </c>
      <c r="X29" s="179">
        <f t="shared" ca="1" si="52"/>
        <v>0</v>
      </c>
      <c r="Y29" s="180">
        <f t="shared" ca="1" si="2"/>
        <v>0</v>
      </c>
    </row>
    <row r="30" spans="1:29" ht="15.75" customHeight="1">
      <c r="A30" s="158">
        <v>27</v>
      </c>
      <c r="B30" s="158" t="s">
        <v>162</v>
      </c>
      <c r="C30" s="89" t="s">
        <v>152</v>
      </c>
      <c r="D30" s="164" t="e">
        <f ca="1">IFERROR(
    IF(VLOOKUP(B30,'SUMBER REKAP APAR'!F:O,2,FALSE)="",
        VLOOKUP(B30,'REKAP APAR FT MAOS'!B:J,3,FALSE),
        VLOOKUP(B30,'SUMBER REKAP APAR'!F:O,2,FALSE)
    ),
    VLOOKUP(B30,'REKAP APAR FT MAOS'!B:J,3,FALSE)
)</f>
        <v>#N/A</v>
      </c>
      <c r="E30" s="164" t="e">
        <f ca="1">IFERROR(
    IF(VLOOKUP(B30,'SUMBER REKAP APAR'!F:O,3,FALSE)="",
        VLOOKUP(B30,'REKAP APAR FT MAOS'!B:J,4,FALSE),
        VLOOKUP(B30,'SUMBER REKAP APAR'!F:O,3,FALSE)
    ),
    VLOOKUP(B30,'REKAP APAR FT MAOS'!B:J,4,FALSE)
)</f>
        <v>#N/A</v>
      </c>
      <c r="F30" s="164">
        <f ca="1">IFERROR(
    IF(VLOOKUP(B30,'SUMBER REKAP APAR'!F:O,4,FALSE)="",
        VLOOKUP(B30,'REKAP APAR FT MAOS'!B:J,5,FALSE),
        VLOOKUP(B30,'SUMBER REKAP APAR'!F:O,4,FALSE)
    ),
    VLOOKUP(B30,'REKAP APAR FT MAOS'!B:J,5,FALSE)
)</f>
        <v>46111</v>
      </c>
      <c r="G30" s="164">
        <f ca="1">IFERROR(
    IF(VLOOKUP(B30,'SUMBER REKAP APAR'!F:O,5,FALSE)="",
        VLOOKUP(B30,'REKAP APAR FT MAOS'!B:J,6,FALSE),
        VLOOKUP(B30,'SUMBER REKAP APAR'!F:O,5,FALSE)
    ),
    VLOOKUP(B30,'REKAP APAR FT MAOS'!B:J,6,FALSE)
)</f>
        <v>46111</v>
      </c>
      <c r="H30" s="164" t="e">
        <f ca="1">IFERROR(
    IF(VLOOKUP(B30,'SUMBER REKAP APAR'!F:O,6,FALSE)="",
        VLOOKUP(B30,'REKAP APAR FT MAOS'!B:J,7,FALSE),
        VLOOKUP(B30,'SUMBER REKAP APAR'!F:O,6,FALSE)
    ),
    VLOOKUP(B30,'REKAP APAR FT MAOS'!B:J,7,FALSE)
)</f>
        <v>#N/A</v>
      </c>
      <c r="I30" s="164" t="e">
        <f ca="1">IFERROR(
    IF(VLOOKUP(B30,'SUMBER REKAP APAR'!F:O,7,FALSE)="",
        VLOOKUP(B30,'REKAP APAR FT MAOS'!B:J,8,FALSE),
        VLOOKUP(B30,'SUMBER REKAP APAR'!F:O,7,FALSE)
    ),
    VLOOKUP(B30,'REKAP APAR FT MAOS'!B:J,8,FALSE)
)</f>
        <v>#N/A</v>
      </c>
      <c r="J30" s="164" t="e">
        <f ca="1">IFERROR(
    IF(VLOOKUP(B30,'SUMBER REKAP APAR'!F:O,8,FALSE)="",
        VLOOKUP(B30,'REKAP APAR FT MAOS'!B:J,9,FALSE),
        VLOOKUP(B30,'SUMBER REKAP APAR'!F:O,8,FALSE)
    ),
    VLOOKUP(B30,'REKAP APAR FT MAOS'!B:J,9,FALSE)
)</f>
        <v>#N/A</v>
      </c>
      <c r="K30" s="164" t="e">
        <f ca="1">IFERROR(
    IF(VLOOKUP(B30,'SUMBER REKAP APAR'!F:O,9,FALSE)="",
        VLOOKUP(B30,'REKAP APAR FT MAOS'!B:J,10,FALSE),
        VLOOKUP(B30,'SUMBER REKAP APAR'!F:O,9,FALSE)
    ),
    VLOOKUP(B30,'REKAP APAR FT MAOS'!B:J,10,FALSE)
)</f>
        <v>#N/A</v>
      </c>
      <c r="L30" s="164" t="e">
        <f ca="1">IFERROR(
    IF(VLOOKUP(B30,'SUMBER REKAP APAR'!F:O,10,FALSE)="",
        VLOOKUP(B30,'REKAP APAR FT MAOS'!B:J,11,FALSE),
        VLOOKUP(B30,'SUMBER REKAP APAR'!F:O,10,FALSE)
    ),
    VLOOKUP(B30,'REKAP APAR FT MAOS'!B:J,11,FALSE)
)</f>
        <v>#N/A</v>
      </c>
      <c r="M30" s="164" t="e">
        <f ca="1">IFERROR(
    IF(VLOOKUP(B30,'SUMBER REKAP APAR'!F:Q,11,FALSE)="",
        VLOOKUP(B30,'REKAP APAR FT MAOS'!B:J,12,FALSE),
        VLOOKUP(B30,'SUMBER REKAP APAR'!F:Q,11,FALSE)
    ),
    VLOOKUP(B30,'REKAP APAR FT MAOS'!B:J,12,FALSE)
)</f>
        <v>#N/A</v>
      </c>
      <c r="N30" s="178" t="e">
        <f t="shared" ref="N30:R30" ca="1" si="53">IF(OR($AA$1="",D30=""),"",D30-$AA$1)</f>
        <v>#N/A</v>
      </c>
      <c r="O30" s="178" t="e">
        <f t="shared" ca="1" si="53"/>
        <v>#N/A</v>
      </c>
      <c r="P30" s="178">
        <f t="shared" ca="1" si="53"/>
        <v>-186</v>
      </c>
      <c r="Q30" s="178">
        <f t="shared" ca="1" si="53"/>
        <v>-186</v>
      </c>
      <c r="R30" s="178" t="e">
        <f t="shared" ca="1" si="53"/>
        <v>#N/A</v>
      </c>
      <c r="S30" s="195"/>
      <c r="T30" s="179">
        <f t="shared" ref="T30:X30" ca="1" si="54">COUNTIF(N30, "&lt;30")</f>
        <v>0</v>
      </c>
      <c r="U30" s="179">
        <f t="shared" ca="1" si="54"/>
        <v>0</v>
      </c>
      <c r="V30" s="179">
        <f t="shared" ca="1" si="54"/>
        <v>1</v>
      </c>
      <c r="W30" s="179">
        <f t="shared" ca="1" si="54"/>
        <v>1</v>
      </c>
      <c r="X30" s="179">
        <f t="shared" ca="1" si="54"/>
        <v>0</v>
      </c>
      <c r="Y30" s="180">
        <f t="shared" ca="1" si="2"/>
        <v>2</v>
      </c>
    </row>
    <row r="31" spans="1:29" ht="17.399999999999999">
      <c r="A31" s="3">
        <v>28</v>
      </c>
      <c r="B31" s="36" t="s">
        <v>163</v>
      </c>
      <c r="C31" s="22" t="s">
        <v>152</v>
      </c>
      <c r="D31" s="29" t="e">
        <f ca="1">IFERROR(
    IF(VLOOKUP(B31,'SUMBER REKAP APAR'!F:O,2,FALSE)="",
        VLOOKUP(B31,'REKAP APAR FT MAOS'!B:J,3,FALSE),
        VLOOKUP(B31,'SUMBER REKAP APAR'!F:O,2,FALSE)
    ),
    VLOOKUP(B31,'REKAP APAR FT MAOS'!B:J,3,FALSE)
)</f>
        <v>#N/A</v>
      </c>
      <c r="E31" s="29" t="e">
        <f ca="1">IFERROR(
    IF(VLOOKUP(B31,'SUMBER REKAP APAR'!F:O,3,FALSE)="",
        VLOOKUP(B31,'REKAP APAR FT MAOS'!B:J,4,FALSE),
        VLOOKUP(B31,'SUMBER REKAP APAR'!F:O,3,FALSE)
    ),
    VLOOKUP(B31,'REKAP APAR FT MAOS'!B:J,4,FALSE)
)</f>
        <v>#N/A</v>
      </c>
      <c r="F31" s="29" t="e">
        <f ca="1">IFERROR(
    IF(VLOOKUP(B31,'SUMBER REKAP APAR'!F:O,4,FALSE)="",
        VLOOKUP(B31,'REKAP APAR FT MAOS'!B:J,5,FALSE),
        VLOOKUP(B31,'SUMBER REKAP APAR'!F:O,4,FALSE)
    ),
    VLOOKUP(B31,'REKAP APAR FT MAOS'!B:J,5,FALSE)
)</f>
        <v>#N/A</v>
      </c>
      <c r="G31" s="29" t="e">
        <f ca="1">IFERROR(
    IF(VLOOKUP(B31,'SUMBER REKAP APAR'!F:O,5,FALSE)="",
        VLOOKUP(B31,'REKAP APAR FT MAOS'!B:J,6,FALSE),
        VLOOKUP(B31,'SUMBER REKAP APAR'!F:O,5,FALSE)
    ),
    VLOOKUP(B31,'REKAP APAR FT MAOS'!B:J,6,FALSE)
)</f>
        <v>#N/A</v>
      </c>
      <c r="H31" s="29" t="e">
        <f ca="1">IFERROR(
    IF(VLOOKUP(B31,'SUMBER REKAP APAR'!F:O,6,FALSE)="",
        VLOOKUP(B31,'REKAP APAR FT MAOS'!B:J,7,FALSE),
        VLOOKUP(B31,'SUMBER REKAP APAR'!F:O,6,FALSE)
    ),
    VLOOKUP(B31,'REKAP APAR FT MAOS'!B:J,7,FALSE)
)</f>
        <v>#N/A</v>
      </c>
      <c r="I31" s="29" t="e">
        <f ca="1">IFERROR(
    IF(VLOOKUP(B31,'SUMBER REKAP APAR'!F:O,7,FALSE)="",
        VLOOKUP(B31,'REKAP APAR FT MAOS'!B:J,8,FALSE),
        VLOOKUP(B31,'SUMBER REKAP APAR'!F:O,7,FALSE)
    ),
    VLOOKUP(B31,'REKAP APAR FT MAOS'!B:J,8,FALSE)
)</f>
        <v>#N/A</v>
      </c>
      <c r="J31" s="29" t="e">
        <f ca="1">IFERROR(
    IF(VLOOKUP(B31,'SUMBER REKAP APAR'!F:O,8,FALSE)="",
        VLOOKUP(B31,'REKAP APAR FT MAOS'!B:J,9,FALSE),
        VLOOKUP(B31,'SUMBER REKAP APAR'!F:O,8,FALSE)
    ),
    VLOOKUP(B31,'REKAP APAR FT MAOS'!B:J,9,FALSE)
)</f>
        <v>#N/A</v>
      </c>
      <c r="K31" s="29" t="e">
        <f ca="1">IFERROR(
    IF(VLOOKUP(B31,'SUMBER REKAP APAR'!F:O,9,FALSE)="",
        VLOOKUP(B31,'REKAP APAR FT MAOS'!B:J,10,FALSE),
        VLOOKUP(B31,'SUMBER REKAP APAR'!F:O,9,FALSE)
    ),
    VLOOKUP(B31,'REKAP APAR FT MAOS'!B:J,10,FALSE)
)</f>
        <v>#N/A</v>
      </c>
      <c r="L31" s="29" t="e">
        <f ca="1">IFERROR(
    IF(VLOOKUP(B31,'SUMBER REKAP APAR'!F:O,10,FALSE)="",
        VLOOKUP(B31,'REKAP APAR FT MAOS'!B:J,11,FALSE),
        VLOOKUP(B31,'SUMBER REKAP APAR'!F:O,10,FALSE)
    ),
    VLOOKUP(B31,'REKAP APAR FT MAOS'!B:J,11,FALSE)
)</f>
        <v>#N/A</v>
      </c>
      <c r="M31" s="29" t="e">
        <f ca="1">IFERROR(
    IF(VLOOKUP(B31,'SUMBER REKAP APAR'!F:Q,11,FALSE)="",
        VLOOKUP(B31,'REKAP APAR FT MAOS'!B:J,12,FALSE),
        VLOOKUP(B31,'SUMBER REKAP APAR'!F:Q,11,FALSE)
    ),
    VLOOKUP(B31,'REKAP APAR FT MAOS'!B:J,12,FALSE)
)</f>
        <v>#N/A</v>
      </c>
      <c r="N31" s="32" t="e">
        <f t="shared" ref="N31:R31" ca="1" si="55">IF(OR($AA$1="",D31=""),"",D31-$AA$1)</f>
        <v>#N/A</v>
      </c>
      <c r="O31" s="32" t="e">
        <f t="shared" ca="1" si="55"/>
        <v>#N/A</v>
      </c>
      <c r="P31" s="32" t="e">
        <f t="shared" ca="1" si="55"/>
        <v>#N/A</v>
      </c>
      <c r="Q31" s="32" t="e">
        <f t="shared" ca="1" si="55"/>
        <v>#N/A</v>
      </c>
      <c r="R31" s="32" t="e">
        <f t="shared" ca="1" si="55"/>
        <v>#N/A</v>
      </c>
      <c r="S31" s="195"/>
      <c r="T31" s="33">
        <f t="shared" ref="T31:X31" ca="1" si="56">COUNTIF(N31, "&lt;30")</f>
        <v>0</v>
      </c>
      <c r="U31" s="33">
        <f t="shared" ca="1" si="56"/>
        <v>0</v>
      </c>
      <c r="V31" s="33">
        <f t="shared" ca="1" si="56"/>
        <v>0</v>
      </c>
      <c r="W31" s="33">
        <f t="shared" ca="1" si="56"/>
        <v>0</v>
      </c>
      <c r="X31" s="33">
        <f t="shared" ca="1" si="56"/>
        <v>0</v>
      </c>
      <c r="Y31" s="34">
        <f t="shared" ca="1" si="2"/>
        <v>0</v>
      </c>
    </row>
    <row r="32" spans="1:29" ht="17.399999999999999">
      <c r="A32" s="3">
        <v>29</v>
      </c>
      <c r="B32" s="36" t="s">
        <v>165</v>
      </c>
      <c r="C32" s="22" t="s">
        <v>152</v>
      </c>
      <c r="D32" s="29" t="e">
        <f ca="1">IFERROR(
    IF(VLOOKUP(B32,'SUMBER REKAP APAR'!F:O,2,FALSE)="",
        VLOOKUP(B32,'REKAP APAR FT MAOS'!B:J,3,FALSE),
        VLOOKUP(B32,'SUMBER REKAP APAR'!F:O,2,FALSE)
    ),
    VLOOKUP(B32,'REKAP APAR FT MAOS'!B:J,3,FALSE)
)</f>
        <v>#N/A</v>
      </c>
      <c r="E32" s="29" t="e">
        <f ca="1">IFERROR(
    IF(VLOOKUP(B32,'SUMBER REKAP APAR'!F:O,3,FALSE)="",
        VLOOKUP(B32,'REKAP APAR FT MAOS'!B:J,4,FALSE),
        VLOOKUP(B32,'SUMBER REKAP APAR'!F:O,3,FALSE)
    ),
    VLOOKUP(B32,'REKAP APAR FT MAOS'!B:J,4,FALSE)
)</f>
        <v>#N/A</v>
      </c>
      <c r="F32" s="29" t="e">
        <f ca="1">IFERROR(
    IF(VLOOKUP(B32,'SUMBER REKAP APAR'!F:O,4,FALSE)="",
        VLOOKUP(B32,'REKAP APAR FT MAOS'!B:J,5,FALSE),
        VLOOKUP(B32,'SUMBER REKAP APAR'!F:O,4,FALSE)
    ),
    VLOOKUP(B32,'REKAP APAR FT MAOS'!B:J,5,FALSE)
)</f>
        <v>#N/A</v>
      </c>
      <c r="G32" s="29" t="e">
        <f ca="1">IFERROR(
    IF(VLOOKUP(B32,'SUMBER REKAP APAR'!F:O,5,FALSE)="",
        VLOOKUP(B32,'REKAP APAR FT MAOS'!B:J,6,FALSE),
        VLOOKUP(B32,'SUMBER REKAP APAR'!F:O,5,FALSE)
    ),
    VLOOKUP(B32,'REKAP APAR FT MAOS'!B:J,6,FALSE)
)</f>
        <v>#N/A</v>
      </c>
      <c r="H32" s="29" t="e">
        <f ca="1">IFERROR(
    IF(VLOOKUP(B32,'SUMBER REKAP APAR'!F:O,6,FALSE)="",
        VLOOKUP(B32,'REKAP APAR FT MAOS'!B:J,7,FALSE),
        VLOOKUP(B32,'SUMBER REKAP APAR'!F:O,6,FALSE)
    ),
    VLOOKUP(B32,'REKAP APAR FT MAOS'!B:J,7,FALSE)
)</f>
        <v>#N/A</v>
      </c>
      <c r="I32" s="29" t="e">
        <f ca="1">IFERROR(
    IF(VLOOKUP(B32,'SUMBER REKAP APAR'!F:O,7,FALSE)="",
        VLOOKUP(B32,'REKAP APAR FT MAOS'!B:J,8,FALSE),
        VLOOKUP(B32,'SUMBER REKAP APAR'!F:O,7,FALSE)
    ),
    VLOOKUP(B32,'REKAP APAR FT MAOS'!B:J,8,FALSE)
)</f>
        <v>#N/A</v>
      </c>
      <c r="J32" s="29" t="e">
        <f ca="1">IFERROR(
    IF(VLOOKUP(B32,'SUMBER REKAP APAR'!F:O,8,FALSE)="",
        VLOOKUP(B32,'REKAP APAR FT MAOS'!B:J,9,FALSE),
        VLOOKUP(B32,'SUMBER REKAP APAR'!F:O,8,FALSE)
    ),
    VLOOKUP(B32,'REKAP APAR FT MAOS'!B:J,9,FALSE)
)</f>
        <v>#N/A</v>
      </c>
      <c r="K32" s="29" t="e">
        <f ca="1">IFERROR(
    IF(VLOOKUP(B32,'SUMBER REKAP APAR'!F:O,9,FALSE)="",
        VLOOKUP(B32,'REKAP APAR FT MAOS'!B:J,10,FALSE),
        VLOOKUP(B32,'SUMBER REKAP APAR'!F:O,9,FALSE)
    ),
    VLOOKUP(B32,'REKAP APAR FT MAOS'!B:J,10,FALSE)
)</f>
        <v>#N/A</v>
      </c>
      <c r="L32" s="29" t="e">
        <f ca="1">IFERROR(
    IF(VLOOKUP(B32,'SUMBER REKAP APAR'!F:O,10,FALSE)="",
        VLOOKUP(B32,'REKAP APAR FT MAOS'!B:J,11,FALSE),
        VLOOKUP(B32,'SUMBER REKAP APAR'!F:O,10,FALSE)
    ),
    VLOOKUP(B32,'REKAP APAR FT MAOS'!B:J,11,FALSE)
)</f>
        <v>#N/A</v>
      </c>
      <c r="M32" s="29" t="e">
        <f ca="1">IFERROR(
    IF(VLOOKUP(B32,'SUMBER REKAP APAR'!F:Q,11,FALSE)="",
        VLOOKUP(B32,'REKAP APAR FT MAOS'!B:J,12,FALSE),
        VLOOKUP(B32,'SUMBER REKAP APAR'!F:Q,11,FALSE)
    ),
    VLOOKUP(B32,'REKAP APAR FT MAOS'!B:J,12,FALSE)
)</f>
        <v>#N/A</v>
      </c>
      <c r="N32" s="32" t="e">
        <f t="shared" ref="N32:R32" ca="1" si="57">IF(OR($AA$1="",D32=""),"",D32-$AA$1)</f>
        <v>#N/A</v>
      </c>
      <c r="O32" s="32" t="e">
        <f t="shared" ca="1" si="57"/>
        <v>#N/A</v>
      </c>
      <c r="P32" s="32" t="e">
        <f t="shared" ca="1" si="57"/>
        <v>#N/A</v>
      </c>
      <c r="Q32" s="32" t="e">
        <f t="shared" ca="1" si="57"/>
        <v>#N/A</v>
      </c>
      <c r="R32" s="32" t="e">
        <f t="shared" ca="1" si="57"/>
        <v>#N/A</v>
      </c>
      <c r="S32" s="195"/>
      <c r="T32" s="33">
        <f t="shared" ref="T32:X32" ca="1" si="58">COUNTIF(N32, "&lt;30")</f>
        <v>0</v>
      </c>
      <c r="U32" s="33">
        <f t="shared" ca="1" si="58"/>
        <v>0</v>
      </c>
      <c r="V32" s="33">
        <f t="shared" ca="1" si="58"/>
        <v>0</v>
      </c>
      <c r="W32" s="33">
        <f t="shared" ca="1" si="58"/>
        <v>0</v>
      </c>
      <c r="X32" s="33">
        <f t="shared" ca="1" si="58"/>
        <v>0</v>
      </c>
      <c r="Y32" s="34">
        <f t="shared" ca="1" si="2"/>
        <v>0</v>
      </c>
    </row>
    <row r="33" spans="1:25" ht="17.399999999999999">
      <c r="A33" s="3">
        <v>30</v>
      </c>
      <c r="B33" s="3" t="s">
        <v>167</v>
      </c>
      <c r="C33" s="22" t="s">
        <v>152</v>
      </c>
      <c r="D33" s="29" t="e">
        <f ca="1">IFERROR(
    IF(VLOOKUP(B33,'SUMBER REKAP APAR'!F:O,2,FALSE)="",
        VLOOKUP(B33,'REKAP APAR FT MAOS'!B:J,3,FALSE),
        VLOOKUP(B33,'SUMBER REKAP APAR'!F:O,2,FALSE)
    ),
    VLOOKUP(B33,'REKAP APAR FT MAOS'!B:J,3,FALSE)
)</f>
        <v>#N/A</v>
      </c>
      <c r="E33" s="29" t="e">
        <f ca="1">IFERROR(
    IF(VLOOKUP(B33,'SUMBER REKAP APAR'!F:O,3,FALSE)="",
        VLOOKUP(B33,'REKAP APAR FT MAOS'!B:J,4,FALSE),
        VLOOKUP(B33,'SUMBER REKAP APAR'!F:O,3,FALSE)
    ),
    VLOOKUP(B33,'REKAP APAR FT MAOS'!B:J,4,FALSE)
)</f>
        <v>#N/A</v>
      </c>
      <c r="F33" s="29">
        <f ca="1">IFERROR(
    IF(VLOOKUP(B33,'SUMBER REKAP APAR'!F:O,4,FALSE)="",
        VLOOKUP(B33,'REKAP APAR FT MAOS'!B:J,5,FALSE),
        VLOOKUP(B33,'SUMBER REKAP APAR'!F:O,4,FALSE)
    ),
    VLOOKUP(B33,'REKAP APAR FT MAOS'!B:J,5,FALSE)
)</f>
        <v>46111</v>
      </c>
      <c r="G33" s="29">
        <f ca="1">IFERROR(
    IF(VLOOKUP(B33,'SUMBER REKAP APAR'!F:O,5,FALSE)="",
        VLOOKUP(B33,'REKAP APAR FT MAOS'!B:J,6,FALSE),
        VLOOKUP(B33,'SUMBER REKAP APAR'!F:O,5,FALSE)
    ),
    VLOOKUP(B33,'REKAP APAR FT MAOS'!B:J,6,FALSE)
)</f>
        <v>46111</v>
      </c>
      <c r="H33" s="29" t="e">
        <f ca="1">IFERROR(
    IF(VLOOKUP(B33,'SUMBER REKAP APAR'!F:O,6,FALSE)="",
        VLOOKUP(B33,'REKAP APAR FT MAOS'!B:J,7,FALSE),
        VLOOKUP(B33,'SUMBER REKAP APAR'!F:O,6,FALSE)
    ),
    VLOOKUP(B33,'REKAP APAR FT MAOS'!B:J,7,FALSE)
)</f>
        <v>#N/A</v>
      </c>
      <c r="I33" s="29" t="e">
        <f ca="1">IFERROR(
    IF(VLOOKUP(B33,'SUMBER REKAP APAR'!F:O,7,FALSE)="",
        VLOOKUP(B33,'REKAP APAR FT MAOS'!B:J,8,FALSE),
        VLOOKUP(B33,'SUMBER REKAP APAR'!F:O,7,FALSE)
    ),
    VLOOKUP(B33,'REKAP APAR FT MAOS'!B:J,8,FALSE)
)</f>
        <v>#N/A</v>
      </c>
      <c r="J33" s="29" t="e">
        <f ca="1">IFERROR(
    IF(VLOOKUP(B33,'SUMBER REKAP APAR'!F:O,8,FALSE)="",
        VLOOKUP(B33,'REKAP APAR FT MAOS'!B:J,9,FALSE),
        VLOOKUP(B33,'SUMBER REKAP APAR'!F:O,8,FALSE)
    ),
    VLOOKUP(B33,'REKAP APAR FT MAOS'!B:J,9,FALSE)
)</f>
        <v>#N/A</v>
      </c>
      <c r="K33" s="29" t="e">
        <f ca="1">IFERROR(
    IF(VLOOKUP(B33,'SUMBER REKAP APAR'!F:O,9,FALSE)="",
        VLOOKUP(B33,'REKAP APAR FT MAOS'!B:J,10,FALSE),
        VLOOKUP(B33,'SUMBER REKAP APAR'!F:O,9,FALSE)
    ),
    VLOOKUP(B33,'REKAP APAR FT MAOS'!B:J,10,FALSE)
)</f>
        <v>#N/A</v>
      </c>
      <c r="L33" s="29" t="e">
        <f ca="1">IFERROR(
    IF(VLOOKUP(B33,'SUMBER REKAP APAR'!F:O,10,FALSE)="",
        VLOOKUP(B33,'REKAP APAR FT MAOS'!B:J,11,FALSE),
        VLOOKUP(B33,'SUMBER REKAP APAR'!F:O,10,FALSE)
    ),
    VLOOKUP(B33,'REKAP APAR FT MAOS'!B:J,11,FALSE)
)</f>
        <v>#N/A</v>
      </c>
      <c r="M33" s="29" t="e">
        <f ca="1">IFERROR(
    IF(VLOOKUP(B33,'SUMBER REKAP APAR'!F:Q,11,FALSE)="",
        VLOOKUP(B33,'REKAP APAR FT MAOS'!B:J,12,FALSE),
        VLOOKUP(B33,'SUMBER REKAP APAR'!F:Q,11,FALSE)
    ),
    VLOOKUP(B33,'REKAP APAR FT MAOS'!B:J,12,FALSE)
)</f>
        <v>#N/A</v>
      </c>
      <c r="N33" s="32" t="e">
        <f t="shared" ref="N33:R33" ca="1" si="59">IF(OR($AA$1="",D33=""),"",D33-$AA$1)</f>
        <v>#N/A</v>
      </c>
      <c r="O33" s="32" t="e">
        <f t="shared" ca="1" si="59"/>
        <v>#N/A</v>
      </c>
      <c r="P33" s="32">
        <f t="shared" ca="1" si="59"/>
        <v>-186</v>
      </c>
      <c r="Q33" s="32">
        <f t="shared" ca="1" si="59"/>
        <v>-186</v>
      </c>
      <c r="R33" s="32" t="e">
        <f t="shared" ca="1" si="59"/>
        <v>#N/A</v>
      </c>
      <c r="S33" s="195"/>
      <c r="T33" s="33">
        <f t="shared" ref="T33:X33" ca="1" si="60">COUNTIF(N33, "&lt;30")</f>
        <v>0</v>
      </c>
      <c r="U33" s="33">
        <f t="shared" ca="1" si="60"/>
        <v>0</v>
      </c>
      <c r="V33" s="33">
        <f t="shared" ca="1" si="60"/>
        <v>1</v>
      </c>
      <c r="W33" s="33">
        <f t="shared" ca="1" si="60"/>
        <v>1</v>
      </c>
      <c r="X33" s="33">
        <f t="shared" ca="1" si="60"/>
        <v>0</v>
      </c>
      <c r="Y33" s="34">
        <f t="shared" ca="1" si="2"/>
        <v>2</v>
      </c>
    </row>
    <row r="34" spans="1:25" ht="17.399999999999999">
      <c r="A34" s="3">
        <v>31</v>
      </c>
      <c r="B34" s="3" t="s">
        <v>80</v>
      </c>
      <c r="C34" s="22" t="s">
        <v>152</v>
      </c>
      <c r="D34" s="29">
        <f ca="1">IFERROR(
    IF(VLOOKUP(B34,'SUMBER REKAP APAR'!F:O,2,FALSE)="",
        VLOOKUP(B34,'REKAP APAR FT MAOS'!B:J,3,FALSE),
        VLOOKUP(B34,'SUMBER REKAP APAR'!F:O,2,FALSE)
    ),
    VLOOKUP(B34,'REKAP APAR FT MAOS'!B:J,3,FALSE)
)</f>
        <v>46283</v>
      </c>
      <c r="E34" s="29">
        <f ca="1">IFERROR(
    IF(VLOOKUP(B34,'SUMBER REKAP APAR'!F:O,3,FALSE)="",
        VLOOKUP(B34,'REKAP APAR FT MAOS'!B:J,4,FALSE),
        VLOOKUP(B34,'SUMBER REKAP APAR'!F:O,3,FALSE)
    ),
    VLOOKUP(B34,'REKAP APAR FT MAOS'!B:J,4,FALSE)
)</f>
        <v>46283</v>
      </c>
      <c r="F34" s="29">
        <f ca="1">IFERROR(
    IF(VLOOKUP(B34,'SUMBER REKAP APAR'!F:O,4,FALSE)="",
        VLOOKUP(B34,'REKAP APAR FT MAOS'!B:J,5,FALSE),
        VLOOKUP(B34,'SUMBER REKAP APAR'!F:O,4,FALSE)
    ),
    VLOOKUP(B34,'REKAP APAR FT MAOS'!B:J,5,FALSE)
)</f>
        <v>0</v>
      </c>
      <c r="G34" s="29">
        <f ca="1">IFERROR(
    IF(VLOOKUP(B34,'SUMBER REKAP APAR'!F:O,5,FALSE)="",
        VLOOKUP(B34,'REKAP APAR FT MAOS'!B:J,6,FALSE),
        VLOOKUP(B34,'SUMBER REKAP APAR'!F:O,5,FALSE)
    ),
    VLOOKUP(B34,'REKAP APAR FT MAOS'!B:J,6,FALSE)
)</f>
        <v>0</v>
      </c>
      <c r="H34" s="29">
        <f ca="1">IFERROR(
    IF(VLOOKUP(B34,'SUMBER REKAP APAR'!F:O,6,FALSE)="",
        VLOOKUP(B34,'REKAP APAR FT MAOS'!B:J,7,FALSE),
        VLOOKUP(B34,'SUMBER REKAP APAR'!F:O,6,FALSE)
    ),
    VLOOKUP(B34,'REKAP APAR FT MAOS'!B:J,7,FALSE)
)</f>
        <v>46283</v>
      </c>
      <c r="I34" s="29">
        <f ca="1">IFERROR(
    IF(VLOOKUP(B34,'SUMBER REKAP APAR'!F:O,7,FALSE)="",
        VLOOKUP(B34,'REKAP APAR FT MAOS'!B:J,8,FALSE),
        VLOOKUP(B34,'SUMBER REKAP APAR'!F:O,7,FALSE)
    ),
    VLOOKUP(B34,'REKAP APAR FT MAOS'!B:J,8,FALSE)
)</f>
        <v>0</v>
      </c>
      <c r="J34" s="29">
        <f ca="1">IFERROR(
    IF(VLOOKUP(B34,'SUMBER REKAP APAR'!F:O,8,FALSE)="",
        VLOOKUP(B34,'REKAP APAR FT MAOS'!B:J,9,FALSE),
        VLOOKUP(B34,'SUMBER REKAP APAR'!F:O,8,FALSE)
    ),
    VLOOKUP(B34,'REKAP APAR FT MAOS'!B:J,9,FALSE)
)</f>
        <v>46283</v>
      </c>
      <c r="K34" s="29" t="e">
        <f ca="1">IFERROR(
    IF(VLOOKUP(B34,'SUMBER REKAP APAR'!F:O,9,FALSE)="",
        VLOOKUP(B34,'REKAP APAR FT MAOS'!B:J,10,FALSE),
        VLOOKUP(B34,'SUMBER REKAP APAR'!F:O,9,FALSE)
    ),
    VLOOKUP(B34,'REKAP APAR FT MAOS'!B:J,10,FALSE)
)</f>
        <v>#REF!</v>
      </c>
      <c r="L34" s="29" t="e">
        <f ca="1">IFERROR(
    IF(VLOOKUP(B34,'SUMBER REKAP APAR'!F:O,10,FALSE)="",
        VLOOKUP(B34,'REKAP APAR FT MAOS'!B:J,11,FALSE),
        VLOOKUP(B34,'SUMBER REKAP APAR'!F:O,10,FALSE)
    ),
    VLOOKUP(B34,'REKAP APAR FT MAOS'!B:J,11,FALSE)
)</f>
        <v>#REF!</v>
      </c>
      <c r="M34" s="29" t="e">
        <f ca="1">IFERROR(
    IF(VLOOKUP(B34,'SUMBER REKAP APAR'!F:Q,11,FALSE)="",
        VLOOKUP(B34,'REKAP APAR FT MAOS'!B:J,12,FALSE),
        VLOOKUP(B34,'SUMBER REKAP APAR'!F:Q,11,FALSE)
    ),
    VLOOKUP(B34,'REKAP APAR FT MAOS'!B:J,12,FALSE)
)</f>
        <v>#REF!</v>
      </c>
      <c r="N34" s="32">
        <f t="shared" ref="N34:R34" ca="1" si="61">IF(OR($AA$1="",D34=""),"",D34-$AA$1)</f>
        <v>-14</v>
      </c>
      <c r="O34" s="32">
        <f t="shared" ca="1" si="61"/>
        <v>-14</v>
      </c>
      <c r="P34" s="32">
        <f t="shared" ca="1" si="61"/>
        <v>-46297</v>
      </c>
      <c r="Q34" s="32">
        <f t="shared" ca="1" si="61"/>
        <v>-46297</v>
      </c>
      <c r="R34" s="32">
        <f t="shared" ca="1" si="61"/>
        <v>-14</v>
      </c>
      <c r="S34" s="195"/>
      <c r="T34" s="33">
        <f t="shared" ref="T34:X34" ca="1" si="62">COUNTIF(N34, "&lt;30")</f>
        <v>1</v>
      </c>
      <c r="U34" s="33">
        <f t="shared" ca="1" si="62"/>
        <v>1</v>
      </c>
      <c r="V34" s="33">
        <f t="shared" ca="1" si="62"/>
        <v>1</v>
      </c>
      <c r="W34" s="33">
        <f t="shared" ca="1" si="62"/>
        <v>1</v>
      </c>
      <c r="X34" s="33">
        <f t="shared" ca="1" si="62"/>
        <v>1</v>
      </c>
      <c r="Y34" s="34">
        <f t="shared" ca="1" si="2"/>
        <v>5</v>
      </c>
    </row>
    <row r="35" spans="1:25" ht="17.399999999999999">
      <c r="A35" s="3">
        <v>32</v>
      </c>
      <c r="B35" s="3" t="s">
        <v>84</v>
      </c>
      <c r="C35" s="22" t="s">
        <v>152</v>
      </c>
      <c r="D35" s="29">
        <f ca="1">IFERROR(
    IF(VLOOKUP(B35,'SUMBER REKAP APAR'!F:O,2,FALSE)="",
        VLOOKUP(B35,'REKAP APAR FT MAOS'!B:J,3,FALSE),
        VLOOKUP(B35,'SUMBER REKAP APAR'!F:O,2,FALSE)
    ),
    VLOOKUP(B35,'REKAP APAR FT MAOS'!B:J,3,FALSE)
)</f>
        <v>46254</v>
      </c>
      <c r="E35" s="29">
        <f ca="1">IFERROR(
    IF(VLOOKUP(B35,'SUMBER REKAP APAR'!F:O,3,FALSE)="",
        VLOOKUP(B35,'REKAP APAR FT MAOS'!B:J,4,FALSE),
        VLOOKUP(B35,'SUMBER REKAP APAR'!F:O,3,FALSE)
    ),
    VLOOKUP(B35,'REKAP APAR FT MAOS'!B:J,4,FALSE)
)</f>
        <v>46254</v>
      </c>
      <c r="F35" s="29">
        <f ca="1">IFERROR(
    IF(VLOOKUP(B35,'SUMBER REKAP APAR'!F:O,4,FALSE)="",
        VLOOKUP(B35,'REKAP APAR FT MAOS'!B:J,5,FALSE),
        VLOOKUP(B35,'SUMBER REKAP APAR'!F:O,4,FALSE)
    ),
    VLOOKUP(B35,'REKAP APAR FT MAOS'!B:J,5,FALSE)
)</f>
        <v>0</v>
      </c>
      <c r="G35" s="29">
        <f ca="1">IFERROR(
    IF(VLOOKUP(B35,'SUMBER REKAP APAR'!F:O,5,FALSE)="",
        VLOOKUP(B35,'REKAP APAR FT MAOS'!B:J,6,FALSE),
        VLOOKUP(B35,'SUMBER REKAP APAR'!F:O,5,FALSE)
    ),
    VLOOKUP(B35,'REKAP APAR FT MAOS'!B:J,6,FALSE)
)</f>
        <v>0</v>
      </c>
      <c r="H35" s="29">
        <f ca="1">IFERROR(
    IF(VLOOKUP(B35,'SUMBER REKAP APAR'!F:O,6,FALSE)="",
        VLOOKUP(B35,'REKAP APAR FT MAOS'!B:J,7,FALSE),
        VLOOKUP(B35,'SUMBER REKAP APAR'!F:O,6,FALSE)
    ),
    VLOOKUP(B35,'REKAP APAR FT MAOS'!B:J,7,FALSE)
)</f>
        <v>46376</v>
      </c>
      <c r="I35" s="29">
        <f ca="1">IFERROR(
    IF(VLOOKUP(B35,'SUMBER REKAP APAR'!F:O,7,FALSE)="",
        VLOOKUP(B35,'REKAP APAR FT MAOS'!B:J,8,FALSE),
        VLOOKUP(B35,'SUMBER REKAP APAR'!F:O,7,FALSE)
    ),
    VLOOKUP(B35,'REKAP APAR FT MAOS'!B:J,8,FALSE)
)</f>
        <v>0</v>
      </c>
      <c r="J35" s="29">
        <f ca="1">IFERROR(
    IF(VLOOKUP(B35,'SUMBER REKAP APAR'!F:O,8,FALSE)="",
        VLOOKUP(B35,'REKAP APAR FT MAOS'!B:J,9,FALSE),
        VLOOKUP(B35,'SUMBER REKAP APAR'!F:O,8,FALSE)
    ),
    VLOOKUP(B35,'REKAP APAR FT MAOS'!B:J,9,FALSE)
)</f>
        <v>46254</v>
      </c>
      <c r="K35" s="29" t="e">
        <f ca="1">IFERROR(
    IF(VLOOKUP(B35,'SUMBER REKAP APAR'!F:O,9,FALSE)="",
        VLOOKUP(B35,'REKAP APAR FT MAOS'!B:J,10,FALSE),
        VLOOKUP(B35,'SUMBER REKAP APAR'!F:O,9,FALSE)
    ),
    VLOOKUP(B35,'REKAP APAR FT MAOS'!B:J,10,FALSE)
)</f>
        <v>#REF!</v>
      </c>
      <c r="L35" s="29" t="e">
        <f ca="1">IFERROR(
    IF(VLOOKUP(B35,'SUMBER REKAP APAR'!F:O,10,FALSE)="",
        VLOOKUP(B35,'REKAP APAR FT MAOS'!B:J,11,FALSE),
        VLOOKUP(B35,'SUMBER REKAP APAR'!F:O,10,FALSE)
    ),
    VLOOKUP(B35,'REKAP APAR FT MAOS'!B:J,11,FALSE)
)</f>
        <v>#REF!</v>
      </c>
      <c r="M35" s="29" t="e">
        <f ca="1">IFERROR(
    IF(VLOOKUP(B35,'SUMBER REKAP APAR'!F:Q,11,FALSE)="",
        VLOOKUP(B35,'REKAP APAR FT MAOS'!B:J,12,FALSE),
        VLOOKUP(B35,'SUMBER REKAP APAR'!F:Q,11,FALSE)
    ),
    VLOOKUP(B35,'REKAP APAR FT MAOS'!B:J,12,FALSE)
)</f>
        <v>#REF!</v>
      </c>
      <c r="N35" s="32">
        <f t="shared" ref="N35:R35" ca="1" si="63">IF(OR($AA$1="",D35=""),"",D35-$AA$1)</f>
        <v>-43</v>
      </c>
      <c r="O35" s="32">
        <f t="shared" ca="1" si="63"/>
        <v>-43</v>
      </c>
      <c r="P35" s="32">
        <f t="shared" ca="1" si="63"/>
        <v>-46297</v>
      </c>
      <c r="Q35" s="32">
        <f t="shared" ca="1" si="63"/>
        <v>-46297</v>
      </c>
      <c r="R35" s="32">
        <f t="shared" ca="1" si="63"/>
        <v>79</v>
      </c>
      <c r="S35" s="195"/>
      <c r="T35" s="33">
        <f t="shared" ref="T35:X35" ca="1" si="64">COUNTIF(N35, "&lt;30")</f>
        <v>1</v>
      </c>
      <c r="U35" s="33">
        <f t="shared" ca="1" si="64"/>
        <v>1</v>
      </c>
      <c r="V35" s="33">
        <f t="shared" ca="1" si="64"/>
        <v>1</v>
      </c>
      <c r="W35" s="33">
        <f t="shared" ca="1" si="64"/>
        <v>1</v>
      </c>
      <c r="X35" s="33">
        <f t="shared" ca="1" si="64"/>
        <v>0</v>
      </c>
      <c r="Y35" s="34">
        <f t="shared" ca="1" si="2"/>
        <v>4</v>
      </c>
    </row>
    <row r="36" spans="1:25" ht="17.399999999999999">
      <c r="A36" s="3">
        <v>33</v>
      </c>
      <c r="B36" s="52" t="s">
        <v>87</v>
      </c>
      <c r="C36" s="22" t="s">
        <v>152</v>
      </c>
      <c r="D36" s="29">
        <f ca="1">IFERROR(
    IF(VLOOKUP(B36,'SUMBER REKAP APAR'!F:O,2,FALSE)="",
        VLOOKUP(B36,'REKAP APAR FT MAOS'!B:J,3,FALSE),
        VLOOKUP(B36,'SUMBER REKAP APAR'!F:O,2,FALSE)
    ),
    VLOOKUP(B36,'REKAP APAR FT MAOS'!B:J,3,FALSE)
)</f>
        <v>45890</v>
      </c>
      <c r="E36" s="29">
        <f ca="1">IFERROR(
    IF(VLOOKUP(B36,'SUMBER REKAP APAR'!F:O,3,FALSE)="",
        VLOOKUP(B36,'REKAP APAR FT MAOS'!B:J,4,FALSE),
        VLOOKUP(B36,'SUMBER REKAP APAR'!F:O,3,FALSE)
    ),
    VLOOKUP(B36,'REKAP APAR FT MAOS'!B:J,4,FALSE)
)</f>
        <v>45890</v>
      </c>
      <c r="F36" s="29">
        <f ca="1">IFERROR(
    IF(VLOOKUP(B36,'SUMBER REKAP APAR'!F:O,4,FALSE)="",
        VLOOKUP(B36,'REKAP APAR FT MAOS'!B:J,5,FALSE),
        VLOOKUP(B36,'SUMBER REKAP APAR'!F:O,4,FALSE)
    ),
    VLOOKUP(B36,'REKAP APAR FT MAOS'!B:J,5,FALSE)
)</f>
        <v>0</v>
      </c>
      <c r="G36" s="29">
        <f ca="1">IFERROR(
    IF(VLOOKUP(B36,'SUMBER REKAP APAR'!F:O,5,FALSE)="",
        VLOOKUP(B36,'REKAP APAR FT MAOS'!B:J,6,FALSE),
        VLOOKUP(B36,'SUMBER REKAP APAR'!F:O,5,FALSE)
    ),
    VLOOKUP(B36,'REKAP APAR FT MAOS'!B:J,6,FALSE)
)</f>
        <v>0</v>
      </c>
      <c r="H36" s="29">
        <f ca="1">IFERROR(
    IF(VLOOKUP(B36,'SUMBER REKAP APAR'!F:O,6,FALSE)="",
        VLOOKUP(B36,'REKAP APAR FT MAOS'!B:J,7,FALSE),
        VLOOKUP(B36,'SUMBER REKAP APAR'!F:O,6,FALSE)
    ),
    VLOOKUP(B36,'REKAP APAR FT MAOS'!B:J,7,FALSE)
)</f>
        <v>46254</v>
      </c>
      <c r="I36" s="29">
        <f ca="1">IFERROR(
    IF(VLOOKUP(B36,'SUMBER REKAP APAR'!F:O,7,FALSE)="",
        VLOOKUP(B36,'REKAP APAR FT MAOS'!B:J,8,FALSE),
        VLOOKUP(B36,'SUMBER REKAP APAR'!F:O,7,FALSE)
    ),
    VLOOKUP(B36,'REKAP APAR FT MAOS'!B:J,8,FALSE)
)</f>
        <v>0</v>
      </c>
      <c r="J36" s="29">
        <f ca="1">IFERROR(
    IF(VLOOKUP(B36,'SUMBER REKAP APAR'!F:O,8,FALSE)="",
        VLOOKUP(B36,'REKAP APAR FT MAOS'!B:J,9,FALSE),
        VLOOKUP(B36,'SUMBER REKAP APAR'!F:O,8,FALSE)
    ),
    VLOOKUP(B36,'REKAP APAR FT MAOS'!B:J,9,FALSE)
)</f>
        <v>46352</v>
      </c>
      <c r="K36" s="29">
        <f ca="1">IFERROR(
    IF(VLOOKUP(B36,'SUMBER REKAP APAR'!F:O,9,FALSE)="",
        VLOOKUP(B36,'REKAP APAR FT MAOS'!B:J,10,FALSE),
        VLOOKUP(B36,'SUMBER REKAP APAR'!F:O,9,FALSE)
    ),
    VLOOKUP(B36,'REKAP APAR FT MAOS'!B:J,10,FALSE)
)</f>
        <v>46055</v>
      </c>
      <c r="L36" s="29">
        <f ca="1">IFERROR(
    IF(VLOOKUP(B36,'SUMBER REKAP APAR'!F:O,10,FALSE)="",
        VLOOKUP(B36,'REKAP APAR FT MAOS'!B:J,11,FALSE),
        VLOOKUP(B36,'SUMBER REKAP APAR'!F:O,10,FALSE)
    ),
    VLOOKUP(B36,'REKAP APAR FT MAOS'!B:J,11,FALSE)
)</f>
        <v>45965</v>
      </c>
      <c r="M36" s="29" t="e">
        <f ca="1">IFERROR(
    IF(VLOOKUP(B36,'SUMBER REKAP APAR'!F:Q,11,FALSE)="",
        VLOOKUP(B36,'REKAP APAR FT MAOS'!B:J,12,FALSE),
        VLOOKUP(B36,'SUMBER REKAP APAR'!F:Q,11,FALSE)
    ),
    VLOOKUP(B36,'REKAP APAR FT MAOS'!B:J,12,FALSE)
)</f>
        <v>#REF!</v>
      </c>
      <c r="N36" s="32">
        <f t="shared" ref="N36:R36" ca="1" si="65">IF(OR($AA$1="",D36=""),"",D36-$AA$1)</f>
        <v>-407</v>
      </c>
      <c r="O36" s="32">
        <f t="shared" ca="1" si="65"/>
        <v>-407</v>
      </c>
      <c r="P36" s="32">
        <f t="shared" ca="1" si="65"/>
        <v>-46297</v>
      </c>
      <c r="Q36" s="32">
        <f t="shared" ca="1" si="65"/>
        <v>-46297</v>
      </c>
      <c r="R36" s="32">
        <f t="shared" ca="1" si="65"/>
        <v>-43</v>
      </c>
      <c r="S36" s="195"/>
      <c r="T36" s="33">
        <f t="shared" ref="T36:X36" ca="1" si="66">COUNTIF(N36, "&lt;30")</f>
        <v>1</v>
      </c>
      <c r="U36" s="33">
        <f t="shared" ca="1" si="66"/>
        <v>1</v>
      </c>
      <c r="V36" s="33">
        <f t="shared" ca="1" si="66"/>
        <v>1</v>
      </c>
      <c r="W36" s="33">
        <f t="shared" ca="1" si="66"/>
        <v>1</v>
      </c>
      <c r="X36" s="33">
        <f t="shared" ca="1" si="66"/>
        <v>1</v>
      </c>
      <c r="Y36" s="34">
        <f t="shared" ca="1" si="2"/>
        <v>5</v>
      </c>
    </row>
    <row r="37" spans="1:25" ht="17.399999999999999">
      <c r="A37" s="3">
        <v>34</v>
      </c>
      <c r="B37" s="3" t="s">
        <v>88</v>
      </c>
      <c r="C37" s="22" t="s">
        <v>152</v>
      </c>
      <c r="D37" s="29">
        <f ca="1">IFERROR(
    IF(VLOOKUP(B37,'SUMBER REKAP APAR'!F:O,2,FALSE)="",
        VLOOKUP(B37,'REKAP APAR FT MAOS'!B:J,3,FALSE),
        VLOOKUP(B37,'SUMBER REKAP APAR'!F:O,2,FALSE)
    ),
    VLOOKUP(B37,'REKAP APAR FT MAOS'!B:J,3,FALSE)
)</f>
        <v>46254</v>
      </c>
      <c r="E37" s="29">
        <f ca="1">IFERROR(
    IF(VLOOKUP(B37,'SUMBER REKAP APAR'!F:O,3,FALSE)="",
        VLOOKUP(B37,'REKAP APAR FT MAOS'!B:J,4,FALSE),
        VLOOKUP(B37,'SUMBER REKAP APAR'!F:O,3,FALSE)
    ),
    VLOOKUP(B37,'REKAP APAR FT MAOS'!B:J,4,FALSE)
)</f>
        <v>46254</v>
      </c>
      <c r="F37" s="29">
        <f ca="1">IFERROR(
    IF(VLOOKUP(B37,'SUMBER REKAP APAR'!F:O,4,FALSE)="",
        VLOOKUP(B37,'REKAP APAR FT MAOS'!B:J,5,FALSE),
        VLOOKUP(B37,'SUMBER REKAP APAR'!F:O,4,FALSE)
    ),
    VLOOKUP(B37,'REKAP APAR FT MAOS'!B:J,5,FALSE)
)</f>
        <v>0</v>
      </c>
      <c r="G37" s="29">
        <f ca="1">IFERROR(
    IF(VLOOKUP(B37,'SUMBER REKAP APAR'!F:O,5,FALSE)="",
        VLOOKUP(B37,'REKAP APAR FT MAOS'!B:J,6,FALSE),
        VLOOKUP(B37,'SUMBER REKAP APAR'!F:O,5,FALSE)
    ),
    VLOOKUP(B37,'REKAP APAR FT MAOS'!B:J,6,FALSE)
)</f>
        <v>0</v>
      </c>
      <c r="H37" s="29">
        <f ca="1">IFERROR(
    IF(VLOOKUP(B37,'SUMBER REKAP APAR'!F:O,6,FALSE)="",
        VLOOKUP(B37,'REKAP APAR FT MAOS'!B:J,7,FALSE),
        VLOOKUP(B37,'SUMBER REKAP APAR'!F:O,6,FALSE)
    ),
    VLOOKUP(B37,'REKAP APAR FT MAOS'!B:J,7,FALSE)
)</f>
        <v>46325</v>
      </c>
      <c r="I37" s="29">
        <f ca="1">IFERROR(
    IF(VLOOKUP(B37,'SUMBER REKAP APAR'!F:O,7,FALSE)="",
        VLOOKUP(B37,'REKAP APAR FT MAOS'!B:J,8,FALSE),
        VLOOKUP(B37,'SUMBER REKAP APAR'!F:O,7,FALSE)
    ),
    VLOOKUP(B37,'REKAP APAR FT MAOS'!B:J,8,FALSE)
)</f>
        <v>0</v>
      </c>
      <c r="J37" s="29">
        <f ca="1">IFERROR(
    IF(VLOOKUP(B37,'SUMBER REKAP APAR'!F:O,8,FALSE)="",
        VLOOKUP(B37,'REKAP APAR FT MAOS'!B:J,9,FALSE),
        VLOOKUP(B37,'SUMBER REKAP APAR'!F:O,8,FALSE)
    ),
    VLOOKUP(B37,'REKAP APAR FT MAOS'!B:J,9,FALSE)
)</f>
        <v>46283</v>
      </c>
      <c r="K37" s="29" t="e">
        <f ca="1">IFERROR(
    IF(VLOOKUP(B37,'SUMBER REKAP APAR'!F:O,9,FALSE)="",
        VLOOKUP(B37,'REKAP APAR FT MAOS'!B:J,10,FALSE),
        VLOOKUP(B37,'SUMBER REKAP APAR'!F:O,9,FALSE)
    ),
    VLOOKUP(B37,'REKAP APAR FT MAOS'!B:J,10,FALSE)
)</f>
        <v>#REF!</v>
      </c>
      <c r="L37" s="29" t="e">
        <f ca="1">IFERROR(
    IF(VLOOKUP(B37,'SUMBER REKAP APAR'!F:O,10,FALSE)="",
        VLOOKUP(B37,'REKAP APAR FT MAOS'!B:J,11,FALSE),
        VLOOKUP(B37,'SUMBER REKAP APAR'!F:O,10,FALSE)
    ),
    VLOOKUP(B37,'REKAP APAR FT MAOS'!B:J,11,FALSE)
)</f>
        <v>#REF!</v>
      </c>
      <c r="M37" s="29" t="e">
        <f ca="1">IFERROR(
    IF(VLOOKUP(B37,'SUMBER REKAP APAR'!F:Q,11,FALSE)="",
        VLOOKUP(B37,'REKAP APAR FT MAOS'!B:J,12,FALSE),
        VLOOKUP(B37,'SUMBER REKAP APAR'!F:Q,11,FALSE)
    ),
    VLOOKUP(B37,'REKAP APAR FT MAOS'!B:J,12,FALSE)
)</f>
        <v>#REF!</v>
      </c>
      <c r="N37" s="32">
        <f t="shared" ref="N37:R37" ca="1" si="67">IF(OR($AA$1="",D37=""),"",D37-$AA$1)</f>
        <v>-43</v>
      </c>
      <c r="O37" s="32">
        <f t="shared" ca="1" si="67"/>
        <v>-43</v>
      </c>
      <c r="P37" s="32">
        <f t="shared" ca="1" si="67"/>
        <v>-46297</v>
      </c>
      <c r="Q37" s="32">
        <f t="shared" ca="1" si="67"/>
        <v>-46297</v>
      </c>
      <c r="R37" s="32">
        <f t="shared" ca="1" si="67"/>
        <v>28</v>
      </c>
      <c r="S37" s="195"/>
      <c r="T37" s="33">
        <f t="shared" ref="T37:X37" ca="1" si="68">COUNTIF(N37, "&lt;30")</f>
        <v>1</v>
      </c>
      <c r="U37" s="33">
        <f t="shared" ca="1" si="68"/>
        <v>1</v>
      </c>
      <c r="V37" s="33">
        <f t="shared" ca="1" si="68"/>
        <v>1</v>
      </c>
      <c r="W37" s="33">
        <f t="shared" ca="1" si="68"/>
        <v>1</v>
      </c>
      <c r="X37" s="33">
        <f t="shared" ca="1" si="68"/>
        <v>1</v>
      </c>
      <c r="Y37" s="34">
        <f t="shared" ca="1" si="2"/>
        <v>5</v>
      </c>
    </row>
    <row r="38" spans="1:25" ht="17.399999999999999">
      <c r="A38" s="3">
        <v>35</v>
      </c>
      <c r="B38" s="36" t="s">
        <v>89</v>
      </c>
      <c r="C38" s="22" t="s">
        <v>152</v>
      </c>
      <c r="D38" s="29">
        <f ca="1">IFERROR(
    IF(VLOOKUP(B38,'SUMBER REKAP APAR'!F:O,2,FALSE)="",
        VLOOKUP(B38,'REKAP APAR FT MAOS'!B:J,3,FALSE),
        VLOOKUP(B38,'SUMBER REKAP APAR'!F:O,2,FALSE)
    ),
    VLOOKUP(B38,'REKAP APAR FT MAOS'!B:J,3,FALSE)
)</f>
        <v>46283</v>
      </c>
      <c r="E38" s="29">
        <f ca="1">IFERROR(
    IF(VLOOKUP(B38,'SUMBER REKAP APAR'!F:O,3,FALSE)="",
        VLOOKUP(B38,'REKAP APAR FT MAOS'!B:J,4,FALSE),
        VLOOKUP(B38,'SUMBER REKAP APAR'!F:O,3,FALSE)
    ),
    VLOOKUP(B38,'REKAP APAR FT MAOS'!B:J,4,FALSE)
)</f>
        <v>46283</v>
      </c>
      <c r="F38" s="29">
        <f ca="1">IFERROR(
    IF(VLOOKUP(B38,'SUMBER REKAP APAR'!F:O,4,FALSE)="",
        VLOOKUP(B38,'REKAP APAR FT MAOS'!B:J,5,FALSE),
        VLOOKUP(B38,'SUMBER REKAP APAR'!F:O,4,FALSE)
    ),
    VLOOKUP(B38,'REKAP APAR FT MAOS'!B:J,5,FALSE)
)</f>
        <v>0</v>
      </c>
      <c r="G38" s="29">
        <f ca="1">IFERROR(
    IF(VLOOKUP(B38,'SUMBER REKAP APAR'!F:O,5,FALSE)="",
        VLOOKUP(B38,'REKAP APAR FT MAOS'!B:J,6,FALSE),
        VLOOKUP(B38,'SUMBER REKAP APAR'!F:O,5,FALSE)
    ),
    VLOOKUP(B38,'REKAP APAR FT MAOS'!B:J,6,FALSE)
)</f>
        <v>0</v>
      </c>
      <c r="H38" s="29">
        <f ca="1">IFERROR(
    IF(VLOOKUP(B38,'SUMBER REKAP APAR'!F:O,6,FALSE)="",
        VLOOKUP(B38,'REKAP APAR FT MAOS'!B:J,7,FALSE),
        VLOOKUP(B38,'SUMBER REKAP APAR'!F:O,6,FALSE)
    ),
    VLOOKUP(B38,'REKAP APAR FT MAOS'!B:J,7,FALSE)
)</f>
        <v>46446</v>
      </c>
      <c r="I38" s="29">
        <f ca="1">IFERROR(
    IF(VLOOKUP(B38,'SUMBER REKAP APAR'!F:O,7,FALSE)="",
        VLOOKUP(B38,'REKAP APAR FT MAOS'!B:J,8,FALSE),
        VLOOKUP(B38,'SUMBER REKAP APAR'!F:O,7,FALSE)
    ),
    VLOOKUP(B38,'REKAP APAR FT MAOS'!B:J,8,FALSE)
)</f>
        <v>0</v>
      </c>
      <c r="J38" s="29">
        <f ca="1">IFERROR(
    IF(VLOOKUP(B38,'SUMBER REKAP APAR'!F:O,8,FALSE)="",
        VLOOKUP(B38,'REKAP APAR FT MAOS'!B:J,9,FALSE),
        VLOOKUP(B38,'SUMBER REKAP APAR'!F:O,8,FALSE)
    ),
    VLOOKUP(B38,'REKAP APAR FT MAOS'!B:J,9,FALSE)
)</f>
        <v>46352</v>
      </c>
      <c r="K38" s="29" t="e">
        <f ca="1">IFERROR(
    IF(VLOOKUP(B38,'SUMBER REKAP APAR'!F:O,9,FALSE)="",
        VLOOKUP(B38,'REKAP APAR FT MAOS'!B:J,10,FALSE),
        VLOOKUP(B38,'SUMBER REKAP APAR'!F:O,9,FALSE)
    ),
    VLOOKUP(B38,'REKAP APAR FT MAOS'!B:J,10,FALSE)
)</f>
        <v>#REF!</v>
      </c>
      <c r="L38" s="29" t="e">
        <f ca="1">IFERROR(
    IF(VLOOKUP(B38,'SUMBER REKAP APAR'!F:O,10,FALSE)="",
        VLOOKUP(B38,'REKAP APAR FT MAOS'!B:J,11,FALSE),
        VLOOKUP(B38,'SUMBER REKAP APAR'!F:O,10,FALSE)
    ),
    VLOOKUP(B38,'REKAP APAR FT MAOS'!B:J,11,FALSE)
)</f>
        <v>#REF!</v>
      </c>
      <c r="M38" s="29" t="e">
        <f ca="1">IFERROR(
    IF(VLOOKUP(B38,'SUMBER REKAP APAR'!F:Q,11,FALSE)="",
        VLOOKUP(B38,'REKAP APAR FT MAOS'!B:J,12,FALSE),
        VLOOKUP(B38,'SUMBER REKAP APAR'!F:Q,11,FALSE)
    ),
    VLOOKUP(B38,'REKAP APAR FT MAOS'!B:J,12,FALSE)
)</f>
        <v>#REF!</v>
      </c>
      <c r="N38" s="32">
        <f t="shared" ref="N38:R38" ca="1" si="69">IF(OR($AA$1="",D38=""),"",D38-$AA$1)</f>
        <v>-14</v>
      </c>
      <c r="O38" s="32">
        <f t="shared" ca="1" si="69"/>
        <v>-14</v>
      </c>
      <c r="P38" s="32">
        <f t="shared" ca="1" si="69"/>
        <v>-46297</v>
      </c>
      <c r="Q38" s="32">
        <f t="shared" ca="1" si="69"/>
        <v>-46297</v>
      </c>
      <c r="R38" s="32">
        <f t="shared" ca="1" si="69"/>
        <v>149</v>
      </c>
      <c r="S38" s="195"/>
      <c r="T38" s="33">
        <f t="shared" ref="T38:X38" ca="1" si="70">COUNTIF(N38, "&lt;30")</f>
        <v>1</v>
      </c>
      <c r="U38" s="33">
        <f t="shared" ca="1" si="70"/>
        <v>1</v>
      </c>
      <c r="V38" s="33">
        <f t="shared" ca="1" si="70"/>
        <v>1</v>
      </c>
      <c r="W38" s="33">
        <f t="shared" ca="1" si="70"/>
        <v>1</v>
      </c>
      <c r="X38" s="33">
        <f t="shared" ca="1" si="70"/>
        <v>0</v>
      </c>
      <c r="Y38" s="34">
        <f t="shared" ca="1" si="2"/>
        <v>4</v>
      </c>
    </row>
    <row r="39" spans="1:25" ht="17.399999999999999">
      <c r="A39" s="3">
        <v>36</v>
      </c>
      <c r="B39" s="36" t="s">
        <v>91</v>
      </c>
      <c r="C39" s="22" t="s">
        <v>152</v>
      </c>
      <c r="D39" s="29">
        <f ca="1">IFERROR(
    IF(VLOOKUP(B39,'SUMBER REKAP APAR'!F:O,2,FALSE)="",
        VLOOKUP(B39,'REKAP APAR FT MAOS'!B:J,3,FALSE),
        VLOOKUP(B39,'SUMBER REKAP APAR'!F:O,2,FALSE)
    ),
    VLOOKUP(B39,'REKAP APAR FT MAOS'!B:J,3,FALSE)
)</f>
        <v>46053</v>
      </c>
      <c r="E39" s="29">
        <f ca="1">IFERROR(
    IF(VLOOKUP(B39,'SUMBER REKAP APAR'!F:O,3,FALSE)="",
        VLOOKUP(B39,'REKAP APAR FT MAOS'!B:J,4,FALSE),
        VLOOKUP(B39,'SUMBER REKAP APAR'!F:O,3,FALSE)
    ),
    VLOOKUP(B39,'REKAP APAR FT MAOS'!B:J,4,FALSE)
)</f>
        <v>46053</v>
      </c>
      <c r="F39" s="29">
        <f ca="1">IFERROR(
    IF(VLOOKUP(B39,'SUMBER REKAP APAR'!F:O,4,FALSE)="",
        VLOOKUP(B39,'REKAP APAR FT MAOS'!B:J,5,FALSE),
        VLOOKUP(B39,'SUMBER REKAP APAR'!F:O,4,FALSE)
    ),
    VLOOKUP(B39,'REKAP APAR FT MAOS'!B:J,5,FALSE)
)</f>
        <v>0</v>
      </c>
      <c r="G39" s="29">
        <f ca="1">IFERROR(
    IF(VLOOKUP(B39,'SUMBER REKAP APAR'!F:O,5,FALSE)="",
        VLOOKUP(B39,'REKAP APAR FT MAOS'!B:J,6,FALSE),
        VLOOKUP(B39,'SUMBER REKAP APAR'!F:O,5,FALSE)
    ),
    VLOOKUP(B39,'REKAP APAR FT MAOS'!B:J,6,FALSE)
)</f>
        <v>46053</v>
      </c>
      <c r="H39" s="29">
        <f ca="1">IFERROR(
    IF(VLOOKUP(B39,'SUMBER REKAP APAR'!F:O,6,FALSE)="",
        VLOOKUP(B39,'REKAP APAR FT MAOS'!B:J,7,FALSE),
        VLOOKUP(B39,'SUMBER REKAP APAR'!F:O,6,FALSE)
    ),
    VLOOKUP(B39,'REKAP APAR FT MAOS'!B:J,7,FALSE)
)</f>
        <v>46446</v>
      </c>
      <c r="I39" s="29">
        <f ca="1">IFERROR(
    IF(VLOOKUP(B39,'SUMBER REKAP APAR'!F:O,7,FALSE)="",
        VLOOKUP(B39,'REKAP APAR FT MAOS'!B:J,8,FALSE),
        VLOOKUP(B39,'SUMBER REKAP APAR'!F:O,7,FALSE)
    ),
    VLOOKUP(B39,'REKAP APAR FT MAOS'!B:J,8,FALSE)
)</f>
        <v>0</v>
      </c>
      <c r="J39" s="29">
        <f ca="1">IFERROR(
    IF(VLOOKUP(B39,'SUMBER REKAP APAR'!F:O,8,FALSE)="",
        VLOOKUP(B39,'REKAP APAR FT MAOS'!B:J,9,FALSE),
        VLOOKUP(B39,'SUMBER REKAP APAR'!F:O,8,FALSE)
    ),
    VLOOKUP(B39,'REKAP APAR FT MAOS'!B:J,9,FALSE)
)</f>
        <v>46053</v>
      </c>
      <c r="K39" s="29">
        <f ca="1">IFERROR(
    IF(VLOOKUP(B39,'SUMBER REKAP APAR'!F:O,9,FALSE)="",
        VLOOKUP(B39,'REKAP APAR FT MAOS'!B:J,10,FALSE),
        VLOOKUP(B39,'SUMBER REKAP APAR'!F:O,9,FALSE)
    ),
    VLOOKUP(B39,'REKAP APAR FT MAOS'!B:J,10,FALSE)
)</f>
        <v>45927</v>
      </c>
      <c r="L39" s="29" t="e">
        <f ca="1">IFERROR(
    IF(VLOOKUP(B39,'SUMBER REKAP APAR'!F:O,10,FALSE)="",
        VLOOKUP(B39,'REKAP APAR FT MAOS'!B:J,11,FALSE),
        VLOOKUP(B39,'SUMBER REKAP APAR'!F:O,10,FALSE)
    ),
    VLOOKUP(B39,'REKAP APAR FT MAOS'!B:J,11,FALSE)
)</f>
        <v>#REF!</v>
      </c>
      <c r="M39" s="29" t="e">
        <f ca="1">IFERROR(
    IF(VLOOKUP(B39,'SUMBER REKAP APAR'!F:Q,11,FALSE)="",
        VLOOKUP(B39,'REKAP APAR FT MAOS'!B:J,12,FALSE),
        VLOOKUP(B39,'SUMBER REKAP APAR'!F:Q,11,FALSE)
    ),
    VLOOKUP(B39,'REKAP APAR FT MAOS'!B:J,12,FALSE)
)</f>
        <v>#REF!</v>
      </c>
      <c r="N39" s="32">
        <f t="shared" ref="N39:R39" ca="1" si="71">IF(OR($AA$1="",D39=""),"",D39-$AA$1)</f>
        <v>-244</v>
      </c>
      <c r="O39" s="32">
        <f t="shared" ca="1" si="71"/>
        <v>-244</v>
      </c>
      <c r="P39" s="32">
        <f t="shared" ca="1" si="71"/>
        <v>-46297</v>
      </c>
      <c r="Q39" s="32">
        <f t="shared" ca="1" si="71"/>
        <v>-244</v>
      </c>
      <c r="R39" s="32">
        <f t="shared" ca="1" si="71"/>
        <v>149</v>
      </c>
      <c r="S39" s="195"/>
      <c r="T39" s="33">
        <f t="shared" ref="T39:X39" ca="1" si="72">COUNTIF(N39, "&lt;30")</f>
        <v>1</v>
      </c>
      <c r="U39" s="33">
        <f t="shared" ca="1" si="72"/>
        <v>1</v>
      </c>
      <c r="V39" s="33">
        <f t="shared" ca="1" si="72"/>
        <v>1</v>
      </c>
      <c r="W39" s="33">
        <f t="shared" ca="1" si="72"/>
        <v>1</v>
      </c>
      <c r="X39" s="33">
        <f t="shared" ca="1" si="72"/>
        <v>0</v>
      </c>
      <c r="Y39" s="34">
        <f t="shared" ca="1" si="2"/>
        <v>4</v>
      </c>
    </row>
    <row r="40" spans="1:25" ht="17.399999999999999">
      <c r="A40" s="3">
        <v>37</v>
      </c>
      <c r="B40" s="36" t="s">
        <v>93</v>
      </c>
      <c r="C40" s="22" t="s">
        <v>152</v>
      </c>
      <c r="D40" s="29">
        <f ca="1">IFERROR(
    IF(VLOOKUP(B40,'SUMBER REKAP APAR'!F:O,2,FALSE)="",
        VLOOKUP(B40,'REKAP APAR FT MAOS'!B:J,3,FALSE),
        VLOOKUP(B40,'SUMBER REKAP APAR'!F:O,2,FALSE)
    ),
    VLOOKUP(B40,'REKAP APAR FT MAOS'!B:J,3,FALSE)
)</f>
        <v>46283</v>
      </c>
      <c r="E40" s="29">
        <f ca="1">IFERROR(
    IF(VLOOKUP(B40,'SUMBER REKAP APAR'!F:O,3,FALSE)="",
        VLOOKUP(B40,'REKAP APAR FT MAOS'!B:J,4,FALSE),
        VLOOKUP(B40,'SUMBER REKAP APAR'!F:O,3,FALSE)
    ),
    VLOOKUP(B40,'REKAP APAR FT MAOS'!B:J,4,FALSE)
)</f>
        <v>46283</v>
      </c>
      <c r="F40" s="29">
        <f ca="1">IFERROR(
    IF(VLOOKUP(B40,'SUMBER REKAP APAR'!F:O,4,FALSE)="",
        VLOOKUP(B40,'REKAP APAR FT MAOS'!B:J,5,FALSE),
        VLOOKUP(B40,'SUMBER REKAP APAR'!F:O,4,FALSE)
    ),
    VLOOKUP(B40,'REKAP APAR FT MAOS'!B:J,5,FALSE)
)</f>
        <v>46111</v>
      </c>
      <c r="G40" s="29">
        <f ca="1">IFERROR(
    IF(VLOOKUP(B40,'SUMBER REKAP APAR'!F:O,5,FALSE)="",
        VLOOKUP(B40,'REKAP APAR FT MAOS'!B:J,6,FALSE),
        VLOOKUP(B40,'SUMBER REKAP APAR'!F:O,5,FALSE)
    ),
    VLOOKUP(B40,'REKAP APAR FT MAOS'!B:J,6,FALSE)
)</f>
        <v>46111</v>
      </c>
      <c r="H40" s="29">
        <f ca="1">IFERROR(
    IF(VLOOKUP(B40,'SUMBER REKAP APAR'!F:O,6,FALSE)="",
        VLOOKUP(B40,'REKAP APAR FT MAOS'!B:J,7,FALSE),
        VLOOKUP(B40,'SUMBER REKAP APAR'!F:O,6,FALSE)
    ),
    VLOOKUP(B40,'REKAP APAR FT MAOS'!B:J,7,FALSE)
)</f>
        <v>46283</v>
      </c>
      <c r="I40" s="29">
        <f ca="1">IFERROR(
    IF(VLOOKUP(B40,'SUMBER REKAP APAR'!F:O,7,FALSE)="",
        VLOOKUP(B40,'REKAP APAR FT MAOS'!B:J,8,FALSE),
        VLOOKUP(B40,'SUMBER REKAP APAR'!F:O,7,FALSE)
    ),
    VLOOKUP(B40,'REKAP APAR FT MAOS'!B:J,8,FALSE)
)</f>
        <v>0</v>
      </c>
      <c r="J40" s="29">
        <f ca="1">IFERROR(
    IF(VLOOKUP(B40,'SUMBER REKAP APAR'!F:O,8,FALSE)="",
        VLOOKUP(B40,'REKAP APAR FT MAOS'!B:J,9,FALSE),
        VLOOKUP(B40,'SUMBER REKAP APAR'!F:O,8,FALSE)
    ),
    VLOOKUP(B40,'REKAP APAR FT MAOS'!B:J,9,FALSE)
)</f>
        <v>46283</v>
      </c>
      <c r="K40" s="29" t="e">
        <f ca="1">IFERROR(
    IF(VLOOKUP(B40,'SUMBER REKAP APAR'!F:O,9,FALSE)="",
        VLOOKUP(B40,'REKAP APAR FT MAOS'!B:J,10,FALSE),
        VLOOKUP(B40,'SUMBER REKAP APAR'!F:O,9,FALSE)
    ),
    VLOOKUP(B40,'REKAP APAR FT MAOS'!B:J,10,FALSE)
)</f>
        <v>#REF!</v>
      </c>
      <c r="L40" s="29" t="e">
        <f ca="1">IFERROR(
    IF(VLOOKUP(B40,'SUMBER REKAP APAR'!F:O,10,FALSE)="",
        VLOOKUP(B40,'REKAP APAR FT MAOS'!B:J,11,FALSE),
        VLOOKUP(B40,'SUMBER REKAP APAR'!F:O,10,FALSE)
    ),
    VLOOKUP(B40,'REKAP APAR FT MAOS'!B:J,11,FALSE)
)</f>
        <v>#REF!</v>
      </c>
      <c r="M40" s="29" t="e">
        <f ca="1">IFERROR(
    IF(VLOOKUP(B40,'SUMBER REKAP APAR'!F:Q,11,FALSE)="",
        VLOOKUP(B40,'REKAP APAR FT MAOS'!B:J,12,FALSE),
        VLOOKUP(B40,'SUMBER REKAP APAR'!F:Q,11,FALSE)
    ),
    VLOOKUP(B40,'REKAP APAR FT MAOS'!B:J,12,FALSE)
)</f>
        <v>#REF!</v>
      </c>
      <c r="N40" s="32">
        <f t="shared" ref="N40:R40" ca="1" si="73">IF(OR($AA$1="",D40=""),"",D40-$AA$1)</f>
        <v>-14</v>
      </c>
      <c r="O40" s="32">
        <f t="shared" ca="1" si="73"/>
        <v>-14</v>
      </c>
      <c r="P40" s="32">
        <f t="shared" ca="1" si="73"/>
        <v>-186</v>
      </c>
      <c r="Q40" s="32">
        <f t="shared" ca="1" si="73"/>
        <v>-186</v>
      </c>
      <c r="R40" s="32">
        <f t="shared" ca="1" si="73"/>
        <v>-14</v>
      </c>
      <c r="S40" s="195"/>
      <c r="T40" s="33">
        <f t="shared" ref="T40:X40" ca="1" si="74">COUNTIF(N40, "&lt;30")</f>
        <v>1</v>
      </c>
      <c r="U40" s="33">
        <f t="shared" ca="1" si="74"/>
        <v>1</v>
      </c>
      <c r="V40" s="33">
        <f t="shared" ca="1" si="74"/>
        <v>1</v>
      </c>
      <c r="W40" s="33">
        <f t="shared" ca="1" si="74"/>
        <v>1</v>
      </c>
      <c r="X40" s="33">
        <f t="shared" ca="1" si="74"/>
        <v>1</v>
      </c>
      <c r="Y40" s="34">
        <f t="shared" ca="1" si="2"/>
        <v>5</v>
      </c>
    </row>
    <row r="41" spans="1:25" ht="17.399999999999999">
      <c r="A41" s="3">
        <v>38</v>
      </c>
      <c r="B41" s="3" t="s">
        <v>90</v>
      </c>
      <c r="C41" s="22" t="s">
        <v>81</v>
      </c>
      <c r="D41" s="29">
        <f ca="1">IFERROR(
    IF(VLOOKUP(B41,'SUMBER REKAP APAR'!F:O,2,FALSE)="",
        VLOOKUP(B41,'REKAP APAR FT MAOS'!B:J,3,FALSE),
        VLOOKUP(B41,'SUMBER REKAP APAR'!F:O,2,FALSE)
    ),
    VLOOKUP(B41,'REKAP APAR FT MAOS'!B:J,3,FALSE)
)</f>
        <v>46418</v>
      </c>
      <c r="E41" s="29">
        <f ca="1">IFERROR(
    IF(VLOOKUP(B41,'SUMBER REKAP APAR'!F:O,3,FALSE)="",
        VLOOKUP(B41,'REKAP APAR FT MAOS'!B:J,4,FALSE),
        VLOOKUP(B41,'SUMBER REKAP APAR'!F:O,3,FALSE)
    ),
    VLOOKUP(B41,'REKAP APAR FT MAOS'!B:J,4,FALSE)
)</f>
        <v>46418</v>
      </c>
      <c r="F41" s="29">
        <f ca="1">IFERROR(
    IF(VLOOKUP(B41,'SUMBER REKAP APAR'!F:O,4,FALSE)="",
        VLOOKUP(B41,'REKAP APAR FT MAOS'!B:J,5,FALSE),
        VLOOKUP(B41,'SUMBER REKAP APAR'!F:O,4,FALSE)
    ),
    VLOOKUP(B41,'REKAP APAR FT MAOS'!B:J,5,FALSE)
)</f>
        <v>0</v>
      </c>
      <c r="G41" s="29">
        <f ca="1">IFERROR(
    IF(VLOOKUP(B41,'SUMBER REKAP APAR'!F:O,5,FALSE)="",
        VLOOKUP(B41,'REKAP APAR FT MAOS'!B:J,6,FALSE),
        VLOOKUP(B41,'SUMBER REKAP APAR'!F:O,5,FALSE)
    ),
    VLOOKUP(B41,'REKAP APAR FT MAOS'!B:J,6,FALSE)
)</f>
        <v>0</v>
      </c>
      <c r="H41" s="29">
        <f ca="1">IFERROR(
    IF(VLOOKUP(B41,'SUMBER REKAP APAR'!F:O,6,FALSE)="",
        VLOOKUP(B41,'REKAP APAR FT MAOS'!B:J,7,FALSE),
        VLOOKUP(B41,'SUMBER REKAP APAR'!F:O,6,FALSE)
    ),
    VLOOKUP(B41,'REKAP APAR FT MAOS'!B:J,7,FALSE)
)</f>
        <v>46352</v>
      </c>
      <c r="I41" s="29">
        <f ca="1">IFERROR(
    IF(VLOOKUP(B41,'SUMBER REKAP APAR'!F:O,7,FALSE)="",
        VLOOKUP(B41,'REKAP APAR FT MAOS'!B:J,8,FALSE),
        VLOOKUP(B41,'SUMBER REKAP APAR'!F:O,7,FALSE)
    ),
    VLOOKUP(B41,'REKAP APAR FT MAOS'!B:J,8,FALSE)
)</f>
        <v>0</v>
      </c>
      <c r="J41" s="29">
        <f ca="1">IFERROR(
    IF(VLOOKUP(B41,'SUMBER REKAP APAR'!F:O,8,FALSE)="",
        VLOOKUP(B41,'REKAP APAR FT MAOS'!B:J,9,FALSE),
        VLOOKUP(B41,'SUMBER REKAP APAR'!F:O,8,FALSE)
    ),
    VLOOKUP(B41,'REKAP APAR FT MAOS'!B:J,9,FALSE)
)</f>
        <v>46352</v>
      </c>
      <c r="K41" s="29" t="e">
        <f ca="1">IFERROR(
    IF(VLOOKUP(B41,'SUMBER REKAP APAR'!F:O,9,FALSE)="",
        VLOOKUP(B41,'REKAP APAR FT MAOS'!B:J,10,FALSE),
        VLOOKUP(B41,'SUMBER REKAP APAR'!F:O,9,FALSE)
    ),
    VLOOKUP(B41,'REKAP APAR FT MAOS'!B:J,10,FALSE)
)</f>
        <v>#REF!</v>
      </c>
      <c r="L41" s="29" t="e">
        <f ca="1">IFERROR(
    IF(VLOOKUP(B41,'SUMBER REKAP APAR'!F:O,10,FALSE)="",
        VLOOKUP(B41,'REKAP APAR FT MAOS'!B:J,11,FALSE),
        VLOOKUP(B41,'SUMBER REKAP APAR'!F:O,10,FALSE)
    ),
    VLOOKUP(B41,'REKAP APAR FT MAOS'!B:J,11,FALSE)
)</f>
        <v>#REF!</v>
      </c>
      <c r="M41" s="29" t="e">
        <f ca="1">IFERROR(
    IF(VLOOKUP(B41,'SUMBER REKAP APAR'!F:Q,11,FALSE)="",
        VLOOKUP(B41,'REKAP APAR FT MAOS'!B:J,12,FALSE),
        VLOOKUP(B41,'SUMBER REKAP APAR'!F:Q,11,FALSE)
    ),
    VLOOKUP(B41,'REKAP APAR FT MAOS'!B:J,12,FALSE)
)</f>
        <v>#REF!</v>
      </c>
      <c r="N41" s="32">
        <f t="shared" ref="N41:R41" ca="1" si="75">IF(OR($AA$1="",D41=""),"",D41-$AA$1)</f>
        <v>121</v>
      </c>
      <c r="O41" s="32">
        <f t="shared" ca="1" si="75"/>
        <v>121</v>
      </c>
      <c r="P41" s="32">
        <f t="shared" ca="1" si="75"/>
        <v>-46297</v>
      </c>
      <c r="Q41" s="32">
        <f t="shared" ca="1" si="75"/>
        <v>-46297</v>
      </c>
      <c r="R41" s="32">
        <f t="shared" ca="1" si="75"/>
        <v>55</v>
      </c>
      <c r="S41" s="195"/>
      <c r="T41" s="33">
        <f t="shared" ref="T41:X41" ca="1" si="76">COUNTIF(N41, "&lt;30")</f>
        <v>0</v>
      </c>
      <c r="U41" s="33">
        <f t="shared" ca="1" si="76"/>
        <v>0</v>
      </c>
      <c r="V41" s="33">
        <f t="shared" ca="1" si="76"/>
        <v>1</v>
      </c>
      <c r="W41" s="33">
        <f t="shared" ca="1" si="76"/>
        <v>1</v>
      </c>
      <c r="X41" s="33">
        <f t="shared" ca="1" si="76"/>
        <v>0</v>
      </c>
      <c r="Y41" s="34">
        <f t="shared" ca="1" si="2"/>
        <v>2</v>
      </c>
    </row>
    <row r="42" spans="1:25" ht="17.399999999999999">
      <c r="A42" s="3">
        <v>39</v>
      </c>
      <c r="B42" s="21" t="s">
        <v>95</v>
      </c>
      <c r="C42" s="22" t="s">
        <v>81</v>
      </c>
      <c r="D42" s="29">
        <f ca="1">IFERROR(
    IF(VLOOKUP(B42,'SUMBER REKAP APAR'!F:O,2,FALSE)="",
        VLOOKUP(B42,'REKAP APAR FT MAOS'!B:J,3,FALSE),
        VLOOKUP(B42,'SUMBER REKAP APAR'!F:O,2,FALSE)
    ),
    VLOOKUP(B42,'REKAP APAR FT MAOS'!B:J,3,FALSE)
)</f>
        <v>46292</v>
      </c>
      <c r="E42" s="29">
        <f ca="1">IFERROR(
    IF(VLOOKUP(B42,'SUMBER REKAP APAR'!F:O,3,FALSE)="",
        VLOOKUP(B42,'REKAP APAR FT MAOS'!B:J,4,FALSE),
        VLOOKUP(B42,'SUMBER REKAP APAR'!F:O,3,FALSE)
    ),
    VLOOKUP(B42,'REKAP APAR FT MAOS'!B:J,4,FALSE)
)</f>
        <v>46292</v>
      </c>
      <c r="F42" s="29">
        <f ca="1">IFERROR(
    IF(VLOOKUP(B42,'SUMBER REKAP APAR'!F:O,4,FALSE)="",
        VLOOKUP(B42,'REKAP APAR FT MAOS'!B:J,5,FALSE),
        VLOOKUP(B42,'SUMBER REKAP APAR'!F:O,4,FALSE)
    ),
    VLOOKUP(B42,'REKAP APAR FT MAOS'!B:J,5,FALSE)
)</f>
        <v>0</v>
      </c>
      <c r="G42" s="29">
        <f ca="1">IFERROR(
    IF(VLOOKUP(B42,'SUMBER REKAP APAR'!F:O,5,FALSE)="",
        VLOOKUP(B42,'REKAP APAR FT MAOS'!B:J,6,FALSE),
        VLOOKUP(B42,'SUMBER REKAP APAR'!F:O,5,FALSE)
    ),
    VLOOKUP(B42,'REKAP APAR FT MAOS'!B:J,6,FALSE)
)</f>
        <v>0</v>
      </c>
      <c r="H42" s="29">
        <f ca="1">IFERROR(
    IF(VLOOKUP(B42,'SUMBER REKAP APAR'!F:O,6,FALSE)="",
        VLOOKUP(B42,'REKAP APAR FT MAOS'!B:J,7,FALSE),
        VLOOKUP(B42,'SUMBER REKAP APAR'!F:O,6,FALSE)
    ),
    VLOOKUP(B42,'REKAP APAR FT MAOS'!B:J,7,FALSE)
)</f>
        <v>46325</v>
      </c>
      <c r="I42" s="29">
        <f ca="1">IFERROR(
    IF(VLOOKUP(B42,'SUMBER REKAP APAR'!F:O,7,FALSE)="",
        VLOOKUP(B42,'REKAP APAR FT MAOS'!B:J,8,FALSE),
        VLOOKUP(B42,'SUMBER REKAP APAR'!F:O,7,FALSE)
    ),
    VLOOKUP(B42,'REKAP APAR FT MAOS'!B:J,8,FALSE)
)</f>
        <v>0</v>
      </c>
      <c r="J42" s="29">
        <f ca="1">IFERROR(
    IF(VLOOKUP(B42,'SUMBER REKAP APAR'!F:O,8,FALSE)="",
        VLOOKUP(B42,'REKAP APAR FT MAOS'!B:J,9,FALSE),
        VLOOKUP(B42,'SUMBER REKAP APAR'!F:O,8,FALSE)
    ),
    VLOOKUP(B42,'REKAP APAR FT MAOS'!B:J,9,FALSE)
)</f>
        <v>46325</v>
      </c>
      <c r="K42" s="29" t="e">
        <f ca="1">IFERROR(
    IF(VLOOKUP(B42,'SUMBER REKAP APAR'!F:O,9,FALSE)="",
        VLOOKUP(B42,'REKAP APAR FT MAOS'!B:J,10,FALSE),
        VLOOKUP(B42,'SUMBER REKAP APAR'!F:O,9,FALSE)
    ),
    VLOOKUP(B42,'REKAP APAR FT MAOS'!B:J,10,FALSE)
)</f>
        <v>#REF!</v>
      </c>
      <c r="L42" s="29" t="e">
        <f ca="1">IFERROR(
    IF(VLOOKUP(B42,'SUMBER REKAP APAR'!F:O,10,FALSE)="",
        VLOOKUP(B42,'REKAP APAR FT MAOS'!B:J,11,FALSE),
        VLOOKUP(B42,'SUMBER REKAP APAR'!F:O,10,FALSE)
    ),
    VLOOKUP(B42,'REKAP APAR FT MAOS'!B:J,11,FALSE)
)</f>
        <v>#REF!</v>
      </c>
      <c r="M42" s="29" t="e">
        <f ca="1">IFERROR(
    IF(VLOOKUP(B42,'SUMBER REKAP APAR'!F:Q,11,FALSE)="",
        VLOOKUP(B42,'REKAP APAR FT MAOS'!B:J,12,FALSE),
        VLOOKUP(B42,'SUMBER REKAP APAR'!F:Q,11,FALSE)
    ),
    VLOOKUP(B42,'REKAP APAR FT MAOS'!B:J,12,FALSE)
)</f>
        <v>#REF!</v>
      </c>
      <c r="N42" s="32">
        <f t="shared" ref="N42:R42" ca="1" si="77">IF(OR($AA$1="",D42=""),"",D42-$AA$1)</f>
        <v>-5</v>
      </c>
      <c r="O42" s="32">
        <f t="shared" ca="1" si="77"/>
        <v>-5</v>
      </c>
      <c r="P42" s="32">
        <f t="shared" ca="1" si="77"/>
        <v>-46297</v>
      </c>
      <c r="Q42" s="32">
        <f t="shared" ca="1" si="77"/>
        <v>-46297</v>
      </c>
      <c r="R42" s="32">
        <f t="shared" ca="1" si="77"/>
        <v>28</v>
      </c>
      <c r="S42" s="195"/>
      <c r="T42" s="33">
        <f t="shared" ref="T42:X42" ca="1" si="78">COUNTIF(N42, "&lt;30")</f>
        <v>1</v>
      </c>
      <c r="U42" s="33">
        <f t="shared" ca="1" si="78"/>
        <v>1</v>
      </c>
      <c r="V42" s="33">
        <f t="shared" ca="1" si="78"/>
        <v>1</v>
      </c>
      <c r="W42" s="33">
        <f t="shared" ca="1" si="78"/>
        <v>1</v>
      </c>
      <c r="X42" s="33">
        <f t="shared" ca="1" si="78"/>
        <v>1</v>
      </c>
      <c r="Y42" s="34">
        <f t="shared" ca="1" si="2"/>
        <v>5</v>
      </c>
    </row>
    <row r="43" spans="1:25" ht="17.399999999999999">
      <c r="A43" s="3">
        <v>40</v>
      </c>
      <c r="B43" s="21" t="s">
        <v>94</v>
      </c>
      <c r="C43" s="22" t="s">
        <v>81</v>
      </c>
      <c r="D43" s="29">
        <f ca="1">IFERROR(
    IF(VLOOKUP(B43,'SUMBER REKAP APAR'!F:O,2,FALSE)="",
        VLOOKUP(B43,'REKAP APAR FT MAOS'!B:J,3,FALSE),
        VLOOKUP(B43,'SUMBER REKAP APAR'!F:O,2,FALSE)
    ),
    VLOOKUP(B43,'REKAP APAR FT MAOS'!B:J,3,FALSE)
)</f>
        <v>46283</v>
      </c>
      <c r="E43" s="29">
        <f ca="1">IFERROR(
    IF(VLOOKUP(B43,'SUMBER REKAP APAR'!F:O,3,FALSE)="",
        VLOOKUP(B43,'REKAP APAR FT MAOS'!B:J,4,FALSE),
        VLOOKUP(B43,'SUMBER REKAP APAR'!F:O,3,FALSE)
    ),
    VLOOKUP(B43,'REKAP APAR FT MAOS'!B:J,4,FALSE)
)</f>
        <v>46283</v>
      </c>
      <c r="F43" s="29">
        <f ca="1">IFERROR(
    IF(VLOOKUP(B43,'SUMBER REKAP APAR'!F:O,4,FALSE)="",
        VLOOKUP(B43,'REKAP APAR FT MAOS'!B:J,5,FALSE),
        VLOOKUP(B43,'SUMBER REKAP APAR'!F:O,4,FALSE)
    ),
    VLOOKUP(B43,'REKAP APAR FT MAOS'!B:J,5,FALSE)
)</f>
        <v>46111</v>
      </c>
      <c r="G43" s="29">
        <f ca="1">IFERROR(
    IF(VLOOKUP(B43,'SUMBER REKAP APAR'!F:O,5,FALSE)="",
        VLOOKUP(B43,'REKAP APAR FT MAOS'!B:J,6,FALSE),
        VLOOKUP(B43,'SUMBER REKAP APAR'!F:O,5,FALSE)
    ),
    VLOOKUP(B43,'REKAP APAR FT MAOS'!B:J,6,FALSE)
)</f>
        <v>0</v>
      </c>
      <c r="H43" s="29">
        <f ca="1">IFERROR(
    IF(VLOOKUP(B43,'SUMBER REKAP APAR'!F:O,6,FALSE)="",
        VLOOKUP(B43,'REKAP APAR FT MAOS'!B:J,7,FALSE),
        VLOOKUP(B43,'SUMBER REKAP APAR'!F:O,6,FALSE)
    ),
    VLOOKUP(B43,'REKAP APAR FT MAOS'!B:J,7,FALSE)
)</f>
        <v>46292</v>
      </c>
      <c r="I43" s="29">
        <f ca="1">IFERROR(
    IF(VLOOKUP(B43,'SUMBER REKAP APAR'!F:O,7,FALSE)="",
        VLOOKUP(B43,'REKAP APAR FT MAOS'!B:J,8,FALSE),
        VLOOKUP(B43,'SUMBER REKAP APAR'!F:O,7,FALSE)
    ),
    VLOOKUP(B43,'REKAP APAR FT MAOS'!B:J,8,FALSE)
)</f>
        <v>0</v>
      </c>
      <c r="J43" s="29">
        <f ca="1">IFERROR(
    IF(VLOOKUP(B43,'SUMBER REKAP APAR'!F:O,8,FALSE)="",
        VLOOKUP(B43,'REKAP APAR FT MAOS'!B:J,9,FALSE),
        VLOOKUP(B43,'SUMBER REKAP APAR'!F:O,8,FALSE)
    ),
    VLOOKUP(B43,'REKAP APAR FT MAOS'!B:J,9,FALSE)
)</f>
        <v>46352</v>
      </c>
      <c r="K43" s="29" t="e">
        <f ca="1">IFERROR(
    IF(VLOOKUP(B43,'SUMBER REKAP APAR'!F:O,9,FALSE)="",
        VLOOKUP(B43,'REKAP APAR FT MAOS'!B:J,10,FALSE),
        VLOOKUP(B43,'SUMBER REKAP APAR'!F:O,9,FALSE)
    ),
    VLOOKUP(B43,'REKAP APAR FT MAOS'!B:J,10,FALSE)
)</f>
        <v>#REF!</v>
      </c>
      <c r="L43" s="29" t="e">
        <f ca="1">IFERROR(
    IF(VLOOKUP(B43,'SUMBER REKAP APAR'!F:O,10,FALSE)="",
        VLOOKUP(B43,'REKAP APAR FT MAOS'!B:J,11,FALSE),
        VLOOKUP(B43,'SUMBER REKAP APAR'!F:O,10,FALSE)
    ),
    VLOOKUP(B43,'REKAP APAR FT MAOS'!B:J,11,FALSE)
)</f>
        <v>#REF!</v>
      </c>
      <c r="M43" s="29" t="e">
        <f ca="1">IFERROR(
    IF(VLOOKUP(B43,'SUMBER REKAP APAR'!F:Q,11,FALSE)="",
        VLOOKUP(B43,'REKAP APAR FT MAOS'!B:J,12,FALSE),
        VLOOKUP(B43,'SUMBER REKAP APAR'!F:Q,11,FALSE)
    ),
    VLOOKUP(B43,'REKAP APAR FT MAOS'!B:J,12,FALSE)
)</f>
        <v>#REF!</v>
      </c>
      <c r="N43" s="32">
        <f t="shared" ref="N43:R43" ca="1" si="79">IF(OR($AA$1="",D43=""),"",D43-$AA$1)</f>
        <v>-14</v>
      </c>
      <c r="O43" s="32">
        <f t="shared" ca="1" si="79"/>
        <v>-14</v>
      </c>
      <c r="P43" s="32">
        <f t="shared" ca="1" si="79"/>
        <v>-186</v>
      </c>
      <c r="Q43" s="32">
        <f t="shared" ca="1" si="79"/>
        <v>-46297</v>
      </c>
      <c r="R43" s="32">
        <f t="shared" ca="1" si="79"/>
        <v>-5</v>
      </c>
      <c r="S43" s="195"/>
      <c r="T43" s="33">
        <f t="shared" ref="T43:X43" ca="1" si="80">COUNTIF(N43, "&lt;30")</f>
        <v>1</v>
      </c>
      <c r="U43" s="33">
        <f t="shared" ca="1" si="80"/>
        <v>1</v>
      </c>
      <c r="V43" s="33">
        <f t="shared" ca="1" si="80"/>
        <v>1</v>
      </c>
      <c r="W43" s="33">
        <f t="shared" ca="1" si="80"/>
        <v>1</v>
      </c>
      <c r="X43" s="33">
        <f t="shared" ca="1" si="80"/>
        <v>1</v>
      </c>
      <c r="Y43" s="34">
        <f t="shared" ca="1" si="2"/>
        <v>5</v>
      </c>
    </row>
    <row r="44" spans="1:25" ht="17.399999999999999">
      <c r="A44" s="3">
        <v>41</v>
      </c>
      <c r="B44" s="21" t="s">
        <v>96</v>
      </c>
      <c r="C44" s="22" t="s">
        <v>81</v>
      </c>
      <c r="D44" s="29">
        <f ca="1">IFERROR(
    IF(VLOOKUP(B44,'SUMBER REKAP APAR'!F:O,2,FALSE)="",
        VLOOKUP(B44,'REKAP APAR FT MAOS'!B:J,3,FALSE),
        VLOOKUP(B44,'SUMBER REKAP APAR'!F:O,2,FALSE)
    ),
    VLOOKUP(B44,'REKAP APAR FT MAOS'!B:J,3,FALSE)
)</f>
        <v>46292</v>
      </c>
      <c r="E44" s="29">
        <f ca="1">IFERROR(
    IF(VLOOKUP(B44,'SUMBER REKAP APAR'!F:O,3,FALSE)="",
        VLOOKUP(B44,'REKAP APAR FT MAOS'!B:J,4,FALSE),
        VLOOKUP(B44,'SUMBER REKAP APAR'!F:O,3,FALSE)
    ),
    VLOOKUP(B44,'REKAP APAR FT MAOS'!B:J,4,FALSE)
)</f>
        <v>46292</v>
      </c>
      <c r="F44" s="29">
        <f ca="1">IFERROR(
    IF(VLOOKUP(B44,'SUMBER REKAP APAR'!F:O,4,FALSE)="",
        VLOOKUP(B44,'REKAP APAR FT MAOS'!B:J,5,FALSE),
        VLOOKUP(B44,'SUMBER REKAP APAR'!F:O,4,FALSE)
    ),
    VLOOKUP(B44,'REKAP APAR FT MAOS'!B:J,5,FALSE)
)</f>
        <v>46111</v>
      </c>
      <c r="G44" s="29">
        <f ca="1">IFERROR(
    IF(VLOOKUP(B44,'SUMBER REKAP APAR'!F:O,5,FALSE)="",
        VLOOKUP(B44,'REKAP APAR FT MAOS'!B:J,6,FALSE),
        VLOOKUP(B44,'SUMBER REKAP APAR'!F:O,5,FALSE)
    ),
    VLOOKUP(B44,'REKAP APAR FT MAOS'!B:J,6,FALSE)
)</f>
        <v>46111</v>
      </c>
      <c r="H44" s="29">
        <f ca="1">IFERROR(
    IF(VLOOKUP(B44,'SUMBER REKAP APAR'!F:O,6,FALSE)="",
        VLOOKUP(B44,'REKAP APAR FT MAOS'!B:J,7,FALSE),
        VLOOKUP(B44,'SUMBER REKAP APAR'!F:O,6,FALSE)
    ),
    VLOOKUP(B44,'REKAP APAR FT MAOS'!B:J,7,FALSE)
)</f>
        <v>46292</v>
      </c>
      <c r="I44" s="29">
        <f ca="1">IFERROR(
    IF(VLOOKUP(B44,'SUMBER REKAP APAR'!F:O,7,FALSE)="",
        VLOOKUP(B44,'REKAP APAR FT MAOS'!B:J,8,FALSE),
        VLOOKUP(B44,'SUMBER REKAP APAR'!F:O,7,FALSE)
    ),
    VLOOKUP(B44,'REKAP APAR FT MAOS'!B:J,8,FALSE)
)</f>
        <v>0</v>
      </c>
      <c r="J44" s="29">
        <f ca="1">IFERROR(
    IF(VLOOKUP(B44,'SUMBER REKAP APAR'!F:O,8,FALSE)="",
        VLOOKUP(B44,'REKAP APAR FT MAOS'!B:J,9,FALSE),
        VLOOKUP(B44,'SUMBER REKAP APAR'!F:O,8,FALSE)
    ),
    VLOOKUP(B44,'REKAP APAR FT MAOS'!B:J,9,FALSE)
)</f>
        <v>46376</v>
      </c>
      <c r="K44" s="29" t="e">
        <f ca="1">IFERROR(
    IF(VLOOKUP(B44,'SUMBER REKAP APAR'!F:O,9,FALSE)="",
        VLOOKUP(B44,'REKAP APAR FT MAOS'!B:J,10,FALSE),
        VLOOKUP(B44,'SUMBER REKAP APAR'!F:O,9,FALSE)
    ),
    VLOOKUP(B44,'REKAP APAR FT MAOS'!B:J,10,FALSE)
)</f>
        <v>#REF!</v>
      </c>
      <c r="L44" s="29" t="e">
        <f ca="1">IFERROR(
    IF(VLOOKUP(B44,'SUMBER REKAP APAR'!F:O,10,FALSE)="",
        VLOOKUP(B44,'REKAP APAR FT MAOS'!B:J,11,FALSE),
        VLOOKUP(B44,'SUMBER REKAP APAR'!F:O,10,FALSE)
    ),
    VLOOKUP(B44,'REKAP APAR FT MAOS'!B:J,11,FALSE)
)</f>
        <v>#REF!</v>
      </c>
      <c r="M44" s="29" t="e">
        <f ca="1">IFERROR(
    IF(VLOOKUP(B44,'SUMBER REKAP APAR'!F:Q,11,FALSE)="",
        VLOOKUP(B44,'REKAP APAR FT MAOS'!B:J,12,FALSE),
        VLOOKUP(B44,'SUMBER REKAP APAR'!F:Q,11,FALSE)
    ),
    VLOOKUP(B44,'REKAP APAR FT MAOS'!B:J,12,FALSE)
)</f>
        <v>#REF!</v>
      </c>
      <c r="N44" s="32">
        <f t="shared" ref="N44:R44" ca="1" si="81">IF(OR($AA$1="",D44=""),"",D44-$AA$1)</f>
        <v>-5</v>
      </c>
      <c r="O44" s="32">
        <f t="shared" ca="1" si="81"/>
        <v>-5</v>
      </c>
      <c r="P44" s="32">
        <f t="shared" ca="1" si="81"/>
        <v>-186</v>
      </c>
      <c r="Q44" s="32">
        <f t="shared" ca="1" si="81"/>
        <v>-186</v>
      </c>
      <c r="R44" s="32">
        <f t="shared" ca="1" si="81"/>
        <v>-5</v>
      </c>
      <c r="S44" s="195"/>
      <c r="T44" s="33">
        <f t="shared" ref="T44:X44" ca="1" si="82">COUNTIF(N44, "&lt;30")</f>
        <v>1</v>
      </c>
      <c r="U44" s="33">
        <f t="shared" ca="1" si="82"/>
        <v>1</v>
      </c>
      <c r="V44" s="33">
        <f t="shared" ca="1" si="82"/>
        <v>1</v>
      </c>
      <c r="W44" s="33">
        <f t="shared" ca="1" si="82"/>
        <v>1</v>
      </c>
      <c r="X44" s="33">
        <f t="shared" ca="1" si="82"/>
        <v>1</v>
      </c>
      <c r="Y44" s="34">
        <f t="shared" ca="1" si="2"/>
        <v>5</v>
      </c>
    </row>
    <row r="45" spans="1:25" ht="17.399999999999999">
      <c r="A45" s="3">
        <v>42</v>
      </c>
      <c r="B45" s="3" t="s">
        <v>150</v>
      </c>
      <c r="C45" s="22" t="s">
        <v>147</v>
      </c>
      <c r="D45" s="29">
        <f ca="1">IFERROR(
    IF(VLOOKUP(B45,'SUMBER REKAP APAR'!F:O,2,FALSE)="",
        VLOOKUP(B45,'REKAP APAR FT MAOS'!B:J,3,FALSE),
        VLOOKUP(B45,'SUMBER REKAP APAR'!F:O,2,FALSE)
    ),
    VLOOKUP(B45,'REKAP APAR FT MAOS'!B:J,3,FALSE)
)</f>
        <v>46418</v>
      </c>
      <c r="E45" s="29">
        <f ca="1">IFERROR(
    IF(VLOOKUP(B45,'SUMBER REKAP APAR'!F:O,3,FALSE)="",
        VLOOKUP(B45,'REKAP APAR FT MAOS'!B:J,4,FALSE),
        VLOOKUP(B45,'SUMBER REKAP APAR'!F:O,3,FALSE)
    ),
    VLOOKUP(B45,'REKAP APAR FT MAOS'!B:J,4,FALSE)
)</f>
        <v>46418</v>
      </c>
      <c r="F45" s="29">
        <f ca="1">IFERROR(
    IF(VLOOKUP(B45,'SUMBER REKAP APAR'!F:O,4,FALSE)="",
        VLOOKUP(B45,'REKAP APAR FT MAOS'!B:J,5,FALSE),
        VLOOKUP(B45,'SUMBER REKAP APAR'!F:O,4,FALSE)
    ),
    VLOOKUP(B45,'REKAP APAR FT MAOS'!B:J,5,FALSE)
)</f>
        <v>46111</v>
      </c>
      <c r="G45" s="29">
        <f ca="1">IFERROR(
    IF(VLOOKUP(B45,'SUMBER REKAP APAR'!F:O,5,FALSE)="",
        VLOOKUP(B45,'REKAP APAR FT MAOS'!B:J,6,FALSE),
        VLOOKUP(B45,'SUMBER REKAP APAR'!F:O,5,FALSE)
    ),
    VLOOKUP(B45,'REKAP APAR FT MAOS'!B:J,6,FALSE)
)</f>
        <v>46111</v>
      </c>
      <c r="H45" s="29">
        <f ca="1">IFERROR(
    IF(VLOOKUP(B45,'SUMBER REKAP APAR'!F:O,6,FALSE)="",
        VLOOKUP(B45,'REKAP APAR FT MAOS'!B:J,7,FALSE),
        VLOOKUP(B45,'SUMBER REKAP APAR'!F:O,6,FALSE)
    ),
    VLOOKUP(B45,'REKAP APAR FT MAOS'!B:J,7,FALSE)
)</f>
        <v>46418</v>
      </c>
      <c r="I45" s="29">
        <f ca="1">IFERROR(
    IF(VLOOKUP(B45,'SUMBER REKAP APAR'!F:O,7,FALSE)="",
        VLOOKUP(B45,'REKAP APAR FT MAOS'!B:J,8,FALSE),
        VLOOKUP(B45,'SUMBER REKAP APAR'!F:O,7,FALSE)
    ),
    VLOOKUP(B45,'REKAP APAR FT MAOS'!B:J,8,FALSE)
)</f>
        <v>0</v>
      </c>
      <c r="J45" s="29">
        <f ca="1">IFERROR(
    IF(VLOOKUP(B45,'SUMBER REKAP APAR'!F:O,8,FALSE)="",
        VLOOKUP(B45,'REKAP APAR FT MAOS'!B:J,9,FALSE),
        VLOOKUP(B45,'SUMBER REKAP APAR'!F:O,8,FALSE)
    ),
    VLOOKUP(B45,'REKAP APAR FT MAOS'!B:J,9,FALSE)
)</f>
        <v>46292</v>
      </c>
      <c r="K45" s="29" t="e">
        <f ca="1">IFERROR(
    IF(VLOOKUP(B45,'SUMBER REKAP APAR'!F:O,9,FALSE)="",
        VLOOKUP(B45,'REKAP APAR FT MAOS'!B:J,10,FALSE),
        VLOOKUP(B45,'SUMBER REKAP APAR'!F:O,9,FALSE)
    ),
    VLOOKUP(B45,'REKAP APAR FT MAOS'!B:J,10,FALSE)
)</f>
        <v>#REF!</v>
      </c>
      <c r="L45" s="29" t="e">
        <f ca="1">IFERROR(
    IF(VLOOKUP(B45,'SUMBER REKAP APAR'!F:O,10,FALSE)="",
        VLOOKUP(B45,'REKAP APAR FT MAOS'!B:J,11,FALSE),
        VLOOKUP(B45,'SUMBER REKAP APAR'!F:O,10,FALSE)
    ),
    VLOOKUP(B45,'REKAP APAR FT MAOS'!B:J,11,FALSE)
)</f>
        <v>#REF!</v>
      </c>
      <c r="M45" s="29" t="e">
        <f ca="1">IFERROR(
    IF(VLOOKUP(B45,'SUMBER REKAP APAR'!F:Q,11,FALSE)="",
        VLOOKUP(B45,'REKAP APAR FT MAOS'!B:J,12,FALSE),
        VLOOKUP(B45,'SUMBER REKAP APAR'!F:Q,11,FALSE)
    ),
    VLOOKUP(B45,'REKAP APAR FT MAOS'!B:J,12,FALSE)
)</f>
        <v>#REF!</v>
      </c>
      <c r="N45" s="32">
        <f t="shared" ref="N45:R45" ca="1" si="83">IF(OR($AA$1="",D45=""),"",D45-$AA$1)</f>
        <v>121</v>
      </c>
      <c r="O45" s="32">
        <f t="shared" ca="1" si="83"/>
        <v>121</v>
      </c>
      <c r="P45" s="32">
        <f t="shared" ca="1" si="83"/>
        <v>-186</v>
      </c>
      <c r="Q45" s="32">
        <f t="shared" ca="1" si="83"/>
        <v>-186</v>
      </c>
      <c r="R45" s="32">
        <f t="shared" ca="1" si="83"/>
        <v>121</v>
      </c>
      <c r="S45" s="195"/>
      <c r="T45" s="33">
        <f t="shared" ref="T45:X45" ca="1" si="84">COUNTIF(N45, "&lt;30")</f>
        <v>0</v>
      </c>
      <c r="U45" s="33">
        <f t="shared" ca="1" si="84"/>
        <v>0</v>
      </c>
      <c r="V45" s="33">
        <f t="shared" ca="1" si="84"/>
        <v>1</v>
      </c>
      <c r="W45" s="33">
        <f t="shared" ca="1" si="84"/>
        <v>1</v>
      </c>
      <c r="X45" s="33">
        <f t="shared" ca="1" si="84"/>
        <v>0</v>
      </c>
      <c r="Y45" s="34">
        <f t="shared" ca="1" si="2"/>
        <v>2</v>
      </c>
    </row>
    <row r="46" spans="1:25" ht="17.399999999999999">
      <c r="A46" s="3">
        <v>43</v>
      </c>
      <c r="B46" s="3" t="s">
        <v>149</v>
      </c>
      <c r="C46" s="22" t="s">
        <v>147</v>
      </c>
      <c r="D46" s="29">
        <f ca="1">IFERROR(
    IF(VLOOKUP(B46,'SUMBER REKAP APAR'!F:O,2,FALSE)="",
        VLOOKUP(B46,'REKAP APAR FT MAOS'!B:J,3,FALSE),
        VLOOKUP(B46,'SUMBER REKAP APAR'!F:O,2,FALSE)
    ),
    VLOOKUP(B46,'REKAP APAR FT MAOS'!B:J,3,FALSE)
)</f>
        <v>45991</v>
      </c>
      <c r="E46" s="29">
        <f ca="1">IFERROR(
    IF(VLOOKUP(B46,'SUMBER REKAP APAR'!F:O,3,FALSE)="",
        VLOOKUP(B46,'REKAP APAR FT MAOS'!B:J,4,FALSE),
        VLOOKUP(B46,'SUMBER REKAP APAR'!F:O,3,FALSE)
    ),
    VLOOKUP(B46,'REKAP APAR FT MAOS'!B:J,4,FALSE)
)</f>
        <v>45991</v>
      </c>
      <c r="F46" s="29">
        <f ca="1">IFERROR(
    IF(VLOOKUP(B46,'SUMBER REKAP APAR'!F:O,4,FALSE)="",
        VLOOKUP(B46,'REKAP APAR FT MAOS'!B:J,5,FALSE),
        VLOOKUP(B46,'SUMBER REKAP APAR'!F:O,4,FALSE)
    ),
    VLOOKUP(B46,'REKAP APAR FT MAOS'!B:J,5,FALSE)
)</f>
        <v>0</v>
      </c>
      <c r="G46" s="29">
        <f ca="1">IFERROR(
    IF(VLOOKUP(B46,'SUMBER REKAP APAR'!F:O,5,FALSE)="",
        VLOOKUP(B46,'REKAP APAR FT MAOS'!B:J,6,FALSE),
        VLOOKUP(B46,'SUMBER REKAP APAR'!F:O,5,FALSE)
    ),
    VLOOKUP(B46,'REKAP APAR FT MAOS'!B:J,6,FALSE)
)</f>
        <v>0</v>
      </c>
      <c r="H46" s="29">
        <f ca="1">IFERROR(
    IF(VLOOKUP(B46,'SUMBER REKAP APAR'!F:O,6,FALSE)="",
        VLOOKUP(B46,'REKAP APAR FT MAOS'!B:J,7,FALSE),
        VLOOKUP(B46,'SUMBER REKAP APAR'!F:O,6,FALSE)
    ),
    VLOOKUP(B46,'REKAP APAR FT MAOS'!B:J,7,FALSE)
)</f>
        <v>46325</v>
      </c>
      <c r="I46" s="29">
        <f ca="1">IFERROR(
    IF(VLOOKUP(B46,'SUMBER REKAP APAR'!F:O,7,FALSE)="",
        VLOOKUP(B46,'REKAP APAR FT MAOS'!B:J,8,FALSE),
        VLOOKUP(B46,'SUMBER REKAP APAR'!F:O,7,FALSE)
    ),
    VLOOKUP(B46,'REKAP APAR FT MAOS'!B:J,8,FALSE)
)</f>
        <v>0</v>
      </c>
      <c r="J46" s="29">
        <f ca="1">IFERROR(
    IF(VLOOKUP(B46,'SUMBER REKAP APAR'!F:O,8,FALSE)="",
        VLOOKUP(B46,'REKAP APAR FT MAOS'!B:J,9,FALSE),
        VLOOKUP(B46,'SUMBER REKAP APAR'!F:O,8,FALSE)
    ),
    VLOOKUP(B46,'REKAP APAR FT MAOS'!B:J,9,FALSE)
)</f>
        <v>46325</v>
      </c>
      <c r="K46" s="29">
        <f ca="1">IFERROR(
    IF(VLOOKUP(B46,'SUMBER REKAP APAR'!F:O,9,FALSE)="",
        VLOOKUP(B46,'REKAP APAR FT MAOS'!B:J,10,FALSE),
        VLOOKUP(B46,'SUMBER REKAP APAR'!F:O,9,FALSE)
    ),
    VLOOKUP(B46,'REKAP APAR FT MAOS'!B:J,10,FALSE)
)</f>
        <v>46081</v>
      </c>
      <c r="L46" s="29">
        <f ca="1">IFERROR(
    IF(VLOOKUP(B46,'SUMBER REKAP APAR'!F:O,10,FALSE)="",
        VLOOKUP(B46,'REKAP APAR FT MAOS'!B:J,11,FALSE),
        VLOOKUP(B46,'SUMBER REKAP APAR'!F:O,10,FALSE)
    ),
    VLOOKUP(B46,'REKAP APAR FT MAOS'!B:J,11,FALSE)
)</f>
        <v>46081</v>
      </c>
      <c r="M46" s="29" t="e">
        <f ca="1">IFERROR(
    IF(VLOOKUP(B46,'SUMBER REKAP APAR'!F:Q,11,FALSE)="",
        VLOOKUP(B46,'REKAP APAR FT MAOS'!B:J,12,FALSE),
        VLOOKUP(B46,'SUMBER REKAP APAR'!F:Q,11,FALSE)
    ),
    VLOOKUP(B46,'REKAP APAR FT MAOS'!B:J,12,FALSE)
)</f>
        <v>#REF!</v>
      </c>
      <c r="N46" s="32">
        <f t="shared" ref="N46:R46" ca="1" si="85">IF(OR($AA$1="",D46=""),"",D46-$AA$1)</f>
        <v>-306</v>
      </c>
      <c r="O46" s="32">
        <f t="shared" ca="1" si="85"/>
        <v>-306</v>
      </c>
      <c r="P46" s="32">
        <f t="shared" ca="1" si="85"/>
        <v>-46297</v>
      </c>
      <c r="Q46" s="32">
        <f t="shared" ca="1" si="85"/>
        <v>-46297</v>
      </c>
      <c r="R46" s="32">
        <f t="shared" ca="1" si="85"/>
        <v>28</v>
      </c>
      <c r="S46" s="195"/>
      <c r="T46" s="33">
        <f t="shared" ref="T46:X46" ca="1" si="86">COUNTIF(N46, "&lt;30")</f>
        <v>1</v>
      </c>
      <c r="U46" s="33">
        <f t="shared" ca="1" si="86"/>
        <v>1</v>
      </c>
      <c r="V46" s="33">
        <f t="shared" ca="1" si="86"/>
        <v>1</v>
      </c>
      <c r="W46" s="33">
        <f t="shared" ca="1" si="86"/>
        <v>1</v>
      </c>
      <c r="X46" s="33">
        <f t="shared" ca="1" si="86"/>
        <v>1</v>
      </c>
      <c r="Y46" s="34">
        <f t="shared" ca="1" si="2"/>
        <v>5</v>
      </c>
    </row>
    <row r="47" spans="1:25" ht="17.399999999999999">
      <c r="A47" s="3">
        <v>44</v>
      </c>
      <c r="B47" s="3" t="s">
        <v>146</v>
      </c>
      <c r="C47" s="22" t="s">
        <v>147</v>
      </c>
      <c r="D47" s="29">
        <f ca="1">IFERROR(
    IF(VLOOKUP(B47,'SUMBER REKAP APAR'!F:O,2,FALSE)="",
        VLOOKUP(B47,'REKAP APAR FT MAOS'!B:J,3,FALSE),
        VLOOKUP(B47,'SUMBER REKAP APAR'!F:O,2,FALSE)
    ),
    VLOOKUP(B47,'REKAP APAR FT MAOS'!B:J,3,FALSE)
)</f>
        <v>46283</v>
      </c>
      <c r="E47" s="29">
        <f ca="1">IFERROR(
    IF(VLOOKUP(B47,'SUMBER REKAP APAR'!F:O,3,FALSE)="",
        VLOOKUP(B47,'REKAP APAR FT MAOS'!B:J,4,FALSE),
        VLOOKUP(B47,'SUMBER REKAP APAR'!F:O,3,FALSE)
    ),
    VLOOKUP(B47,'REKAP APAR FT MAOS'!B:J,4,FALSE)
)</f>
        <v>46283</v>
      </c>
      <c r="F47" s="29">
        <f ca="1">IFERROR(
    IF(VLOOKUP(B47,'SUMBER REKAP APAR'!F:O,4,FALSE)="",
        VLOOKUP(B47,'REKAP APAR FT MAOS'!B:J,5,FALSE),
        VLOOKUP(B47,'SUMBER REKAP APAR'!F:O,4,FALSE)
    ),
    VLOOKUP(B47,'REKAP APAR FT MAOS'!B:J,5,FALSE)
)</f>
        <v>46005</v>
      </c>
      <c r="G47" s="29">
        <f ca="1">IFERROR(
    IF(VLOOKUP(B47,'SUMBER REKAP APAR'!F:O,5,FALSE)="",
        VLOOKUP(B47,'REKAP APAR FT MAOS'!B:J,6,FALSE),
        VLOOKUP(B47,'SUMBER REKAP APAR'!F:O,5,FALSE)
    ),
    VLOOKUP(B47,'REKAP APAR FT MAOS'!B:J,6,FALSE)
)</f>
        <v>46005</v>
      </c>
      <c r="H47" s="29">
        <f ca="1">IFERROR(
    IF(VLOOKUP(B47,'SUMBER REKAP APAR'!F:O,6,FALSE)="",
        VLOOKUP(B47,'REKAP APAR FT MAOS'!B:J,7,FALSE),
        VLOOKUP(B47,'SUMBER REKAP APAR'!F:O,6,FALSE)
    ),
    VLOOKUP(B47,'REKAP APAR FT MAOS'!B:J,7,FALSE)
)</f>
        <v>46352</v>
      </c>
      <c r="I47" s="29">
        <f ca="1">IFERROR(
    IF(VLOOKUP(B47,'SUMBER REKAP APAR'!F:O,7,FALSE)="",
        VLOOKUP(B47,'REKAP APAR FT MAOS'!B:J,8,FALSE),
        VLOOKUP(B47,'SUMBER REKAP APAR'!F:O,7,FALSE)
    ),
    VLOOKUP(B47,'REKAP APAR FT MAOS'!B:J,8,FALSE)
)</f>
        <v>0</v>
      </c>
      <c r="J47" s="29">
        <f ca="1">IFERROR(
    IF(VLOOKUP(B47,'SUMBER REKAP APAR'!F:O,8,FALSE)="",
        VLOOKUP(B47,'REKAP APAR FT MAOS'!B:J,9,FALSE),
        VLOOKUP(B47,'SUMBER REKAP APAR'!F:O,8,FALSE)
    ),
    VLOOKUP(B47,'REKAP APAR FT MAOS'!B:J,9,FALSE)
)</f>
        <v>46352</v>
      </c>
      <c r="K47" s="29" t="e">
        <f ca="1">IFERROR(
    IF(VLOOKUP(B47,'SUMBER REKAP APAR'!F:O,9,FALSE)="",
        VLOOKUP(B47,'REKAP APAR FT MAOS'!B:J,10,FALSE),
        VLOOKUP(B47,'SUMBER REKAP APAR'!F:O,9,FALSE)
    ),
    VLOOKUP(B47,'REKAP APAR FT MAOS'!B:J,10,FALSE)
)</f>
        <v>#REF!</v>
      </c>
      <c r="L47" s="29" t="e">
        <f ca="1">IFERROR(
    IF(VLOOKUP(B47,'SUMBER REKAP APAR'!F:O,10,FALSE)="",
        VLOOKUP(B47,'REKAP APAR FT MAOS'!B:J,11,FALSE),
        VLOOKUP(B47,'SUMBER REKAP APAR'!F:O,10,FALSE)
    ),
    VLOOKUP(B47,'REKAP APAR FT MAOS'!B:J,11,FALSE)
)</f>
        <v>#REF!</v>
      </c>
      <c r="M47" s="29" t="e">
        <f ca="1">IFERROR(
    IF(VLOOKUP(B47,'SUMBER REKAP APAR'!F:Q,11,FALSE)="",
        VLOOKUP(B47,'REKAP APAR FT MAOS'!B:J,12,FALSE),
        VLOOKUP(B47,'SUMBER REKAP APAR'!F:Q,11,FALSE)
    ),
    VLOOKUP(B47,'REKAP APAR FT MAOS'!B:J,12,FALSE)
)</f>
        <v>#REF!</v>
      </c>
      <c r="N47" s="32">
        <f t="shared" ref="N47:R47" ca="1" si="87">IF(OR($AA$1="",D47=""),"",D47-$AA$1)</f>
        <v>-14</v>
      </c>
      <c r="O47" s="32">
        <f t="shared" ca="1" si="87"/>
        <v>-14</v>
      </c>
      <c r="P47" s="32">
        <f t="shared" ca="1" si="87"/>
        <v>-292</v>
      </c>
      <c r="Q47" s="32">
        <f t="shared" ca="1" si="87"/>
        <v>-292</v>
      </c>
      <c r="R47" s="32">
        <f t="shared" ca="1" si="87"/>
        <v>55</v>
      </c>
      <c r="S47" s="195"/>
      <c r="T47" s="33">
        <f t="shared" ref="T47:X47" ca="1" si="88">COUNTIF(N47, "&lt;30")</f>
        <v>1</v>
      </c>
      <c r="U47" s="33">
        <f t="shared" ca="1" si="88"/>
        <v>1</v>
      </c>
      <c r="V47" s="33">
        <f t="shared" ca="1" si="88"/>
        <v>1</v>
      </c>
      <c r="W47" s="33">
        <f t="shared" ca="1" si="88"/>
        <v>1</v>
      </c>
      <c r="X47" s="33">
        <f t="shared" ca="1" si="88"/>
        <v>0</v>
      </c>
      <c r="Y47" s="34">
        <f t="shared" ca="1" si="2"/>
        <v>4</v>
      </c>
    </row>
    <row r="48" spans="1:25" ht="17.399999999999999">
      <c r="A48" s="3">
        <v>45</v>
      </c>
      <c r="B48" s="3" t="s">
        <v>69</v>
      </c>
      <c r="C48" s="22" t="s">
        <v>70</v>
      </c>
      <c r="D48" s="29" t="e">
        <f ca="1">IFERROR(
    IF(VLOOKUP(B48,'SUMBER REKAP APAR'!F:O,2,FALSE)="",
        VLOOKUP(B48,'REKAP APAR FT MAOS'!B:J,3,FALSE),
        VLOOKUP(B48,'SUMBER REKAP APAR'!F:O,2,FALSE)
    ),
    VLOOKUP(B48,'REKAP APAR FT MAOS'!B:J,3,FALSE)
)</f>
        <v>#N/A</v>
      </c>
      <c r="E48" s="29" t="e">
        <f ca="1">IFERROR(
    IF(VLOOKUP(B48,'SUMBER REKAP APAR'!F:O,3,FALSE)="",
        VLOOKUP(B48,'REKAP APAR FT MAOS'!B:J,4,FALSE),
        VLOOKUP(B48,'SUMBER REKAP APAR'!F:O,3,FALSE)
    ),
    VLOOKUP(B48,'REKAP APAR FT MAOS'!B:J,4,FALSE)
)</f>
        <v>#N/A</v>
      </c>
      <c r="F48" s="29" t="e">
        <f ca="1">IFERROR(
    IF(VLOOKUP(B48,'SUMBER REKAP APAR'!F:O,4,FALSE)="",
        VLOOKUP(B48,'REKAP APAR FT MAOS'!B:J,5,FALSE),
        VLOOKUP(B48,'SUMBER REKAP APAR'!F:O,4,FALSE)
    ),
    VLOOKUP(B48,'REKAP APAR FT MAOS'!B:J,5,FALSE)
)</f>
        <v>#N/A</v>
      </c>
      <c r="G48" s="29" t="e">
        <f ca="1">IFERROR(
    IF(VLOOKUP(B48,'SUMBER REKAP APAR'!F:O,5,FALSE)="",
        VLOOKUP(B48,'REKAP APAR FT MAOS'!B:J,6,FALSE),
        VLOOKUP(B48,'SUMBER REKAP APAR'!F:O,5,FALSE)
    ),
    VLOOKUP(B48,'REKAP APAR FT MAOS'!B:J,6,FALSE)
)</f>
        <v>#N/A</v>
      </c>
      <c r="H48" s="29" t="e">
        <f ca="1">IFERROR(
    IF(VLOOKUP(B48,'SUMBER REKAP APAR'!F:O,6,FALSE)="",
        VLOOKUP(B48,'REKAP APAR FT MAOS'!B:J,7,FALSE),
        VLOOKUP(B48,'SUMBER REKAP APAR'!F:O,6,FALSE)
    ),
    VLOOKUP(B48,'REKAP APAR FT MAOS'!B:J,7,FALSE)
)</f>
        <v>#N/A</v>
      </c>
      <c r="I48" s="29" t="e">
        <f ca="1">IFERROR(
    IF(VLOOKUP(B48,'SUMBER REKAP APAR'!F:O,7,FALSE)="",
        VLOOKUP(B48,'REKAP APAR FT MAOS'!B:J,8,FALSE),
        VLOOKUP(B48,'SUMBER REKAP APAR'!F:O,7,FALSE)
    ),
    VLOOKUP(B48,'REKAP APAR FT MAOS'!B:J,8,FALSE)
)</f>
        <v>#N/A</v>
      </c>
      <c r="J48" s="29" t="e">
        <f ca="1">IFERROR(
    IF(VLOOKUP(B48,'SUMBER REKAP APAR'!F:O,8,FALSE)="",
        VLOOKUP(B48,'REKAP APAR FT MAOS'!B:J,9,FALSE),
        VLOOKUP(B48,'SUMBER REKAP APAR'!F:O,8,FALSE)
    ),
    VLOOKUP(B48,'REKAP APAR FT MAOS'!B:J,9,FALSE)
)</f>
        <v>#N/A</v>
      </c>
      <c r="K48" s="29" t="e">
        <f ca="1">IFERROR(
    IF(VLOOKUP(B48,'SUMBER REKAP APAR'!F:O,9,FALSE)="",
        VLOOKUP(B48,'REKAP APAR FT MAOS'!B:J,10,FALSE),
        VLOOKUP(B48,'SUMBER REKAP APAR'!F:O,9,FALSE)
    ),
    VLOOKUP(B48,'REKAP APAR FT MAOS'!B:J,10,FALSE)
)</f>
        <v>#N/A</v>
      </c>
      <c r="L48" s="29" t="e">
        <f ca="1">IFERROR(
    IF(VLOOKUP(B48,'SUMBER REKAP APAR'!F:O,10,FALSE)="",
        VLOOKUP(B48,'REKAP APAR FT MAOS'!B:J,11,FALSE),
        VLOOKUP(B48,'SUMBER REKAP APAR'!F:O,10,FALSE)
    ),
    VLOOKUP(B48,'REKAP APAR FT MAOS'!B:J,11,FALSE)
)</f>
        <v>#N/A</v>
      </c>
      <c r="M48" s="29" t="e">
        <f ca="1">IFERROR(
    IF(VLOOKUP(B48,'SUMBER REKAP APAR'!F:Q,11,FALSE)="",
        VLOOKUP(B48,'REKAP APAR FT MAOS'!B:J,12,FALSE),
        VLOOKUP(B48,'SUMBER REKAP APAR'!F:Q,11,FALSE)
    ),
    VLOOKUP(B48,'REKAP APAR FT MAOS'!B:J,12,FALSE)
)</f>
        <v>#N/A</v>
      </c>
      <c r="N48" s="32" t="e">
        <f t="shared" ref="N48:R48" ca="1" si="89">IF(OR($AA$1="",D48=""),"",D48-$AA$1)</f>
        <v>#N/A</v>
      </c>
      <c r="O48" s="32" t="e">
        <f t="shared" ca="1" si="89"/>
        <v>#N/A</v>
      </c>
      <c r="P48" s="32" t="e">
        <f t="shared" ca="1" si="89"/>
        <v>#N/A</v>
      </c>
      <c r="Q48" s="32" t="e">
        <f t="shared" ca="1" si="89"/>
        <v>#N/A</v>
      </c>
      <c r="R48" s="32" t="e">
        <f t="shared" ca="1" si="89"/>
        <v>#N/A</v>
      </c>
      <c r="S48" s="195"/>
      <c r="T48" s="33">
        <f t="shared" ref="T48:X48" ca="1" si="90">COUNTIF(N48, "&lt;30")</f>
        <v>0</v>
      </c>
      <c r="U48" s="33">
        <f t="shared" ca="1" si="90"/>
        <v>0</v>
      </c>
      <c r="V48" s="33">
        <f t="shared" ca="1" si="90"/>
        <v>0</v>
      </c>
      <c r="W48" s="33">
        <f t="shared" ca="1" si="90"/>
        <v>0</v>
      </c>
      <c r="X48" s="33">
        <f t="shared" ca="1" si="90"/>
        <v>0</v>
      </c>
      <c r="Y48" s="34">
        <f t="shared" ca="1" si="2"/>
        <v>0</v>
      </c>
    </row>
    <row r="49" spans="1:25" ht="17.399999999999999">
      <c r="A49" s="3">
        <v>46</v>
      </c>
      <c r="B49" s="3" t="s">
        <v>157</v>
      </c>
      <c r="C49" s="22" t="s">
        <v>70</v>
      </c>
      <c r="D49" s="29">
        <f ca="1">IFERROR(
    IF(VLOOKUP(B49,'SUMBER REKAP APAR'!F:O,2,FALSE)="",
        VLOOKUP(B49,'REKAP APAR FT MAOS'!B:J,3,FALSE),
        VLOOKUP(B49,'SUMBER REKAP APAR'!F:O,2,FALSE)
    ),
    VLOOKUP(B49,'REKAP APAR FT MAOS'!B:J,3,FALSE)
)</f>
        <v>45991</v>
      </c>
      <c r="E49" s="29">
        <f ca="1">IFERROR(
    IF(VLOOKUP(B49,'SUMBER REKAP APAR'!F:O,3,FALSE)="",
        VLOOKUP(B49,'REKAP APAR FT MAOS'!B:J,4,FALSE),
        VLOOKUP(B49,'SUMBER REKAP APAR'!F:O,3,FALSE)
    ),
    VLOOKUP(B49,'REKAP APAR FT MAOS'!B:J,4,FALSE)
)</f>
        <v>45991</v>
      </c>
      <c r="F49" s="29">
        <f ca="1">IFERROR(
    IF(VLOOKUP(B49,'SUMBER REKAP APAR'!F:O,4,FALSE)="",
        VLOOKUP(B49,'REKAP APAR FT MAOS'!B:J,5,FALSE),
        VLOOKUP(B49,'SUMBER REKAP APAR'!F:O,4,FALSE)
    ),
    VLOOKUP(B49,'REKAP APAR FT MAOS'!B:J,5,FALSE)
)</f>
        <v>0</v>
      </c>
      <c r="G49" s="29">
        <f ca="1">IFERROR(
    IF(VLOOKUP(B49,'SUMBER REKAP APAR'!F:O,5,FALSE)="",
        VLOOKUP(B49,'REKAP APAR FT MAOS'!B:J,6,FALSE),
        VLOOKUP(B49,'SUMBER REKAP APAR'!F:O,5,FALSE)
    ),
    VLOOKUP(B49,'REKAP APAR FT MAOS'!B:J,6,FALSE)
)</f>
        <v>0</v>
      </c>
      <c r="H49" s="29">
        <f ca="1">IFERROR(
    IF(VLOOKUP(B49,'SUMBER REKAP APAR'!F:O,6,FALSE)="",
        VLOOKUP(B49,'REKAP APAR FT MAOS'!B:J,7,FALSE),
        VLOOKUP(B49,'SUMBER REKAP APAR'!F:O,6,FALSE)
    ),
    VLOOKUP(B49,'REKAP APAR FT MAOS'!B:J,7,FALSE)
)</f>
        <v>46292</v>
      </c>
      <c r="I49" s="29">
        <f ca="1">IFERROR(
    IF(VLOOKUP(B49,'SUMBER REKAP APAR'!F:O,7,FALSE)="",
        VLOOKUP(B49,'REKAP APAR FT MAOS'!B:J,8,FALSE),
        VLOOKUP(B49,'SUMBER REKAP APAR'!F:O,7,FALSE)
    ),
    VLOOKUP(B49,'REKAP APAR FT MAOS'!B:J,8,FALSE)
)</f>
        <v>0</v>
      </c>
      <c r="J49" s="29">
        <f ca="1">IFERROR(
    IF(VLOOKUP(B49,'SUMBER REKAP APAR'!F:O,8,FALSE)="",
        VLOOKUP(B49,'REKAP APAR FT MAOS'!B:J,9,FALSE),
        VLOOKUP(B49,'SUMBER REKAP APAR'!F:O,8,FALSE)
    ),
    VLOOKUP(B49,'REKAP APAR FT MAOS'!B:J,9,FALSE)
)</f>
        <v>46325</v>
      </c>
      <c r="K49" s="29">
        <f ca="1">IFERROR(
    IF(VLOOKUP(B49,'SUMBER REKAP APAR'!F:O,9,FALSE)="",
        VLOOKUP(B49,'REKAP APAR FT MAOS'!B:J,10,FALSE),
        VLOOKUP(B49,'SUMBER REKAP APAR'!F:O,9,FALSE)
    ),
    VLOOKUP(B49,'REKAP APAR FT MAOS'!B:J,10,FALSE)
)</f>
        <v>46081</v>
      </c>
      <c r="L49" s="29">
        <f ca="1">IFERROR(
    IF(VLOOKUP(B49,'SUMBER REKAP APAR'!F:O,10,FALSE)="",
        VLOOKUP(B49,'REKAP APAR FT MAOS'!B:J,11,FALSE),
        VLOOKUP(B49,'SUMBER REKAP APAR'!F:O,10,FALSE)
    ),
    VLOOKUP(B49,'REKAP APAR FT MAOS'!B:J,11,FALSE)
)</f>
        <v>46081</v>
      </c>
      <c r="M49" s="29" t="e">
        <f ca="1">IFERROR(
    IF(VLOOKUP(B49,'SUMBER REKAP APAR'!F:Q,11,FALSE)="",
        VLOOKUP(B49,'REKAP APAR FT MAOS'!B:J,12,FALSE),
        VLOOKUP(B49,'SUMBER REKAP APAR'!F:Q,11,FALSE)
    ),
    VLOOKUP(B49,'REKAP APAR FT MAOS'!B:J,12,FALSE)
)</f>
        <v>#REF!</v>
      </c>
      <c r="N49" s="32">
        <f t="shared" ref="N49:R49" ca="1" si="91">IF(OR($AA$1="",D49=""),"",D49-$AA$1)</f>
        <v>-306</v>
      </c>
      <c r="O49" s="32">
        <f t="shared" ca="1" si="91"/>
        <v>-306</v>
      </c>
      <c r="P49" s="32">
        <f t="shared" ca="1" si="91"/>
        <v>-46297</v>
      </c>
      <c r="Q49" s="32">
        <f t="shared" ca="1" si="91"/>
        <v>-46297</v>
      </c>
      <c r="R49" s="32">
        <f t="shared" ca="1" si="91"/>
        <v>-5</v>
      </c>
      <c r="S49" s="195"/>
      <c r="T49" s="33">
        <f t="shared" ref="T49:X49" ca="1" si="92">COUNTIF(N49, "&lt;30")</f>
        <v>1</v>
      </c>
      <c r="U49" s="33">
        <f t="shared" ca="1" si="92"/>
        <v>1</v>
      </c>
      <c r="V49" s="33">
        <f t="shared" ca="1" si="92"/>
        <v>1</v>
      </c>
      <c r="W49" s="33">
        <f t="shared" ca="1" si="92"/>
        <v>1</v>
      </c>
      <c r="X49" s="33">
        <f t="shared" ca="1" si="92"/>
        <v>1</v>
      </c>
      <c r="Y49" s="34">
        <f t="shared" ca="1" si="2"/>
        <v>5</v>
      </c>
    </row>
    <row r="50" spans="1:25" ht="17.399999999999999">
      <c r="A50" s="3">
        <v>47</v>
      </c>
      <c r="B50" s="3" t="s">
        <v>73</v>
      </c>
      <c r="C50" s="22" t="s">
        <v>70</v>
      </c>
      <c r="D50" s="29" t="e">
        <f ca="1">IFERROR(
    IF(VLOOKUP(B50,'SUMBER REKAP APAR'!F:O,2,FALSE)="",
        VLOOKUP(B50,'REKAP APAR FT MAOS'!B:J,3,FALSE),
        VLOOKUP(B50,'SUMBER REKAP APAR'!F:O,2,FALSE)
    ),
    VLOOKUP(B50,'REKAP APAR FT MAOS'!B:J,3,FALSE)
)</f>
        <v>#N/A</v>
      </c>
      <c r="E50" s="29" t="e">
        <f ca="1">IFERROR(
    IF(VLOOKUP(B50,'SUMBER REKAP APAR'!F:O,3,FALSE)="",
        VLOOKUP(B50,'REKAP APAR FT MAOS'!B:J,4,FALSE),
        VLOOKUP(B50,'SUMBER REKAP APAR'!F:O,3,FALSE)
    ),
    VLOOKUP(B50,'REKAP APAR FT MAOS'!B:J,4,FALSE)
)</f>
        <v>#N/A</v>
      </c>
      <c r="F50" s="29">
        <f ca="1">IFERROR(
    IF(VLOOKUP(B50,'SUMBER REKAP APAR'!F:O,4,FALSE)="",
        VLOOKUP(B50,'REKAP APAR FT MAOS'!B:J,5,FALSE),
        VLOOKUP(B50,'SUMBER REKAP APAR'!F:O,4,FALSE)
    ),
    VLOOKUP(B50,'REKAP APAR FT MAOS'!B:J,5,FALSE)
)</f>
        <v>46111</v>
      </c>
      <c r="G50" s="29">
        <f ca="1">IFERROR(
    IF(VLOOKUP(B50,'SUMBER REKAP APAR'!F:O,5,FALSE)="",
        VLOOKUP(B50,'REKAP APAR FT MAOS'!B:J,6,FALSE),
        VLOOKUP(B50,'SUMBER REKAP APAR'!F:O,5,FALSE)
    ),
    VLOOKUP(B50,'REKAP APAR FT MAOS'!B:J,6,FALSE)
)</f>
        <v>46111</v>
      </c>
      <c r="H50" s="29" t="e">
        <f ca="1">IFERROR(
    IF(VLOOKUP(B50,'SUMBER REKAP APAR'!F:O,6,FALSE)="",
        VLOOKUP(B50,'REKAP APAR FT MAOS'!B:J,7,FALSE),
        VLOOKUP(B50,'SUMBER REKAP APAR'!F:O,6,FALSE)
    ),
    VLOOKUP(B50,'REKAP APAR FT MAOS'!B:J,7,FALSE)
)</f>
        <v>#N/A</v>
      </c>
      <c r="I50" s="29" t="e">
        <f ca="1">IFERROR(
    IF(VLOOKUP(B50,'SUMBER REKAP APAR'!F:O,7,FALSE)="",
        VLOOKUP(B50,'REKAP APAR FT MAOS'!B:J,8,FALSE),
        VLOOKUP(B50,'SUMBER REKAP APAR'!F:O,7,FALSE)
    ),
    VLOOKUP(B50,'REKAP APAR FT MAOS'!B:J,8,FALSE)
)</f>
        <v>#N/A</v>
      </c>
      <c r="J50" s="29" t="e">
        <f ca="1">IFERROR(
    IF(VLOOKUP(B50,'SUMBER REKAP APAR'!F:O,8,FALSE)="",
        VLOOKUP(B50,'REKAP APAR FT MAOS'!B:J,9,FALSE),
        VLOOKUP(B50,'SUMBER REKAP APAR'!F:O,8,FALSE)
    ),
    VLOOKUP(B50,'REKAP APAR FT MAOS'!B:J,9,FALSE)
)</f>
        <v>#N/A</v>
      </c>
      <c r="K50" s="29" t="e">
        <f ca="1">IFERROR(
    IF(VLOOKUP(B50,'SUMBER REKAP APAR'!F:O,9,FALSE)="",
        VLOOKUP(B50,'REKAP APAR FT MAOS'!B:J,10,FALSE),
        VLOOKUP(B50,'SUMBER REKAP APAR'!F:O,9,FALSE)
    ),
    VLOOKUP(B50,'REKAP APAR FT MAOS'!B:J,10,FALSE)
)</f>
        <v>#N/A</v>
      </c>
      <c r="L50" s="29" t="e">
        <f ca="1">IFERROR(
    IF(VLOOKUP(B50,'SUMBER REKAP APAR'!F:O,10,FALSE)="",
        VLOOKUP(B50,'REKAP APAR FT MAOS'!B:J,11,FALSE),
        VLOOKUP(B50,'SUMBER REKAP APAR'!F:O,10,FALSE)
    ),
    VLOOKUP(B50,'REKAP APAR FT MAOS'!B:J,11,FALSE)
)</f>
        <v>#N/A</v>
      </c>
      <c r="M50" s="29" t="e">
        <f ca="1">IFERROR(
    IF(VLOOKUP(B50,'SUMBER REKAP APAR'!F:Q,11,FALSE)="",
        VLOOKUP(B50,'REKAP APAR FT MAOS'!B:J,12,FALSE),
        VLOOKUP(B50,'SUMBER REKAP APAR'!F:Q,11,FALSE)
    ),
    VLOOKUP(B50,'REKAP APAR FT MAOS'!B:J,12,FALSE)
)</f>
        <v>#N/A</v>
      </c>
      <c r="N50" s="32" t="e">
        <f t="shared" ref="N50:R50" ca="1" si="93">IF(OR($AA$1="",D50=""),"",D50-$AA$1)</f>
        <v>#N/A</v>
      </c>
      <c r="O50" s="32" t="e">
        <f t="shared" ca="1" si="93"/>
        <v>#N/A</v>
      </c>
      <c r="P50" s="32">
        <f t="shared" ca="1" si="93"/>
        <v>-186</v>
      </c>
      <c r="Q50" s="32">
        <f t="shared" ca="1" si="93"/>
        <v>-186</v>
      </c>
      <c r="R50" s="32" t="e">
        <f t="shared" ca="1" si="93"/>
        <v>#N/A</v>
      </c>
      <c r="S50" s="195"/>
      <c r="T50" s="33">
        <f t="shared" ref="T50:X50" ca="1" si="94">COUNTIF(N50, "&lt;30")</f>
        <v>0</v>
      </c>
      <c r="U50" s="33">
        <f t="shared" ca="1" si="94"/>
        <v>0</v>
      </c>
      <c r="V50" s="33">
        <f t="shared" ca="1" si="94"/>
        <v>1</v>
      </c>
      <c r="W50" s="33">
        <f t="shared" ca="1" si="94"/>
        <v>1</v>
      </c>
      <c r="X50" s="33">
        <f t="shared" ca="1" si="94"/>
        <v>0</v>
      </c>
      <c r="Y50" s="34">
        <f t="shared" ca="1" si="2"/>
        <v>2</v>
      </c>
    </row>
    <row r="51" spans="1:25" ht="17.399999999999999">
      <c r="A51" s="3">
        <v>48</v>
      </c>
      <c r="B51" s="3" t="s">
        <v>74</v>
      </c>
      <c r="C51" s="22" t="s">
        <v>70</v>
      </c>
      <c r="D51" s="29" t="e">
        <f ca="1">IFERROR(
    IF(VLOOKUP(B51,'SUMBER REKAP APAR'!F:O,2,FALSE)="",
        VLOOKUP(B51,'REKAP APAR FT MAOS'!B:J,3,FALSE),
        VLOOKUP(B51,'SUMBER REKAP APAR'!F:O,2,FALSE)
    ),
    VLOOKUP(B51,'REKAP APAR FT MAOS'!B:J,3,FALSE)
)</f>
        <v>#N/A</v>
      </c>
      <c r="E51" s="29" t="e">
        <f ca="1">IFERROR(
    IF(VLOOKUP(B51,'SUMBER REKAP APAR'!F:O,3,FALSE)="",
        VLOOKUP(B51,'REKAP APAR FT MAOS'!B:J,4,FALSE),
        VLOOKUP(B51,'SUMBER REKAP APAR'!F:O,3,FALSE)
    ),
    VLOOKUP(B51,'REKAP APAR FT MAOS'!B:J,4,FALSE)
)</f>
        <v>#N/A</v>
      </c>
      <c r="F51" s="29" t="e">
        <f ca="1">IFERROR(
    IF(VLOOKUP(B51,'SUMBER REKAP APAR'!F:O,4,FALSE)="",
        VLOOKUP(B51,'REKAP APAR FT MAOS'!B:J,5,FALSE),
        VLOOKUP(B51,'SUMBER REKAP APAR'!F:O,4,FALSE)
    ),
    VLOOKUP(B51,'REKAP APAR FT MAOS'!B:J,5,FALSE)
)</f>
        <v>#N/A</v>
      </c>
      <c r="G51" s="29" t="e">
        <f ca="1">IFERROR(
    IF(VLOOKUP(B51,'SUMBER REKAP APAR'!F:O,5,FALSE)="",
        VLOOKUP(B51,'REKAP APAR FT MAOS'!B:J,6,FALSE),
        VLOOKUP(B51,'SUMBER REKAP APAR'!F:O,5,FALSE)
    ),
    VLOOKUP(B51,'REKAP APAR FT MAOS'!B:J,6,FALSE)
)</f>
        <v>#N/A</v>
      </c>
      <c r="H51" s="29" t="e">
        <f ca="1">IFERROR(
    IF(VLOOKUP(B51,'SUMBER REKAP APAR'!F:O,6,FALSE)="",
        VLOOKUP(B51,'REKAP APAR FT MAOS'!B:J,7,FALSE),
        VLOOKUP(B51,'SUMBER REKAP APAR'!F:O,6,FALSE)
    ),
    VLOOKUP(B51,'REKAP APAR FT MAOS'!B:J,7,FALSE)
)</f>
        <v>#N/A</v>
      </c>
      <c r="I51" s="29" t="e">
        <f ca="1">IFERROR(
    IF(VLOOKUP(B51,'SUMBER REKAP APAR'!F:O,7,FALSE)="",
        VLOOKUP(B51,'REKAP APAR FT MAOS'!B:J,8,FALSE),
        VLOOKUP(B51,'SUMBER REKAP APAR'!F:O,7,FALSE)
    ),
    VLOOKUP(B51,'REKAP APAR FT MAOS'!B:J,8,FALSE)
)</f>
        <v>#N/A</v>
      </c>
      <c r="J51" s="29" t="e">
        <f ca="1">IFERROR(
    IF(VLOOKUP(B51,'SUMBER REKAP APAR'!F:O,8,FALSE)="",
        VLOOKUP(B51,'REKAP APAR FT MAOS'!B:J,9,FALSE),
        VLOOKUP(B51,'SUMBER REKAP APAR'!F:O,8,FALSE)
    ),
    VLOOKUP(B51,'REKAP APAR FT MAOS'!B:J,9,FALSE)
)</f>
        <v>#N/A</v>
      </c>
      <c r="K51" s="29" t="e">
        <f ca="1">IFERROR(
    IF(VLOOKUP(B51,'SUMBER REKAP APAR'!F:O,9,FALSE)="",
        VLOOKUP(B51,'REKAP APAR FT MAOS'!B:J,10,FALSE),
        VLOOKUP(B51,'SUMBER REKAP APAR'!F:O,9,FALSE)
    ),
    VLOOKUP(B51,'REKAP APAR FT MAOS'!B:J,10,FALSE)
)</f>
        <v>#N/A</v>
      </c>
      <c r="L51" s="29" t="e">
        <f ca="1">IFERROR(
    IF(VLOOKUP(B51,'SUMBER REKAP APAR'!F:O,10,FALSE)="",
        VLOOKUP(B51,'REKAP APAR FT MAOS'!B:J,11,FALSE),
        VLOOKUP(B51,'SUMBER REKAP APAR'!F:O,10,FALSE)
    ),
    VLOOKUP(B51,'REKAP APAR FT MAOS'!B:J,11,FALSE)
)</f>
        <v>#N/A</v>
      </c>
      <c r="M51" s="29" t="e">
        <f ca="1">IFERROR(
    IF(VLOOKUP(B51,'SUMBER REKAP APAR'!F:Q,11,FALSE)="",
        VLOOKUP(B51,'REKAP APAR FT MAOS'!B:J,12,FALSE),
        VLOOKUP(B51,'SUMBER REKAP APAR'!F:Q,11,FALSE)
    ),
    VLOOKUP(B51,'REKAP APAR FT MAOS'!B:J,12,FALSE)
)</f>
        <v>#N/A</v>
      </c>
      <c r="N51" s="32" t="e">
        <f t="shared" ref="N51:R51" ca="1" si="95">IF(OR($AA$1="",D51=""),"",D51-$AA$1)</f>
        <v>#N/A</v>
      </c>
      <c r="O51" s="32" t="e">
        <f t="shared" ca="1" si="95"/>
        <v>#N/A</v>
      </c>
      <c r="P51" s="32" t="e">
        <f t="shared" ca="1" si="95"/>
        <v>#N/A</v>
      </c>
      <c r="Q51" s="32" t="e">
        <f t="shared" ca="1" si="95"/>
        <v>#N/A</v>
      </c>
      <c r="R51" s="32" t="e">
        <f t="shared" ca="1" si="95"/>
        <v>#N/A</v>
      </c>
      <c r="S51" s="195"/>
      <c r="T51" s="33">
        <f t="shared" ref="T51:X51" ca="1" si="96">COUNTIF(N51, "&lt;30")</f>
        <v>0</v>
      </c>
      <c r="U51" s="33">
        <f t="shared" ca="1" si="96"/>
        <v>0</v>
      </c>
      <c r="V51" s="33">
        <f t="shared" ca="1" si="96"/>
        <v>0</v>
      </c>
      <c r="W51" s="33">
        <f t="shared" ca="1" si="96"/>
        <v>0</v>
      </c>
      <c r="X51" s="33">
        <f t="shared" ca="1" si="96"/>
        <v>0</v>
      </c>
      <c r="Y51" s="34">
        <f t="shared" ca="1" si="2"/>
        <v>0</v>
      </c>
    </row>
    <row r="52" spans="1:25" ht="17.399999999999999">
      <c r="A52" s="3">
        <v>49</v>
      </c>
      <c r="B52" s="3" t="s">
        <v>75</v>
      </c>
      <c r="C52" s="22" t="s">
        <v>70</v>
      </c>
      <c r="D52" s="29" t="e">
        <f ca="1">IFERROR(
    IF(VLOOKUP(B52,'SUMBER REKAP APAR'!F:O,2,FALSE)="",
        VLOOKUP(B52,'REKAP APAR FT MAOS'!B:J,3,FALSE),
        VLOOKUP(B52,'SUMBER REKAP APAR'!F:O,2,FALSE)
    ),
    VLOOKUP(B52,'REKAP APAR FT MAOS'!B:J,3,FALSE)
)</f>
        <v>#N/A</v>
      </c>
      <c r="E52" s="29" t="e">
        <f ca="1">IFERROR(
    IF(VLOOKUP(B52,'SUMBER REKAP APAR'!F:O,3,FALSE)="",
        VLOOKUP(B52,'REKAP APAR FT MAOS'!B:J,4,FALSE),
        VLOOKUP(B52,'SUMBER REKAP APAR'!F:O,3,FALSE)
    ),
    VLOOKUP(B52,'REKAP APAR FT MAOS'!B:J,4,FALSE)
)</f>
        <v>#N/A</v>
      </c>
      <c r="F52" s="29" t="e">
        <f ca="1">IFERROR(
    IF(VLOOKUP(B52,'SUMBER REKAP APAR'!F:O,4,FALSE)="",
        VLOOKUP(B52,'REKAP APAR FT MAOS'!B:J,5,FALSE),
        VLOOKUP(B52,'SUMBER REKAP APAR'!F:O,4,FALSE)
    ),
    VLOOKUP(B52,'REKAP APAR FT MAOS'!B:J,5,FALSE)
)</f>
        <v>#N/A</v>
      </c>
      <c r="G52" s="29" t="e">
        <f ca="1">IFERROR(
    IF(VLOOKUP(B52,'SUMBER REKAP APAR'!F:O,5,FALSE)="",
        VLOOKUP(B52,'REKAP APAR FT MAOS'!B:J,6,FALSE),
        VLOOKUP(B52,'SUMBER REKAP APAR'!F:O,5,FALSE)
    ),
    VLOOKUP(B52,'REKAP APAR FT MAOS'!B:J,6,FALSE)
)</f>
        <v>#N/A</v>
      </c>
      <c r="H52" s="29" t="e">
        <f ca="1">IFERROR(
    IF(VLOOKUP(B52,'SUMBER REKAP APAR'!F:O,6,FALSE)="",
        VLOOKUP(B52,'REKAP APAR FT MAOS'!B:J,7,FALSE),
        VLOOKUP(B52,'SUMBER REKAP APAR'!F:O,6,FALSE)
    ),
    VLOOKUP(B52,'REKAP APAR FT MAOS'!B:J,7,FALSE)
)</f>
        <v>#N/A</v>
      </c>
      <c r="I52" s="29" t="e">
        <f ca="1">IFERROR(
    IF(VLOOKUP(B52,'SUMBER REKAP APAR'!F:O,7,FALSE)="",
        VLOOKUP(B52,'REKAP APAR FT MAOS'!B:J,8,FALSE),
        VLOOKUP(B52,'SUMBER REKAP APAR'!F:O,7,FALSE)
    ),
    VLOOKUP(B52,'REKAP APAR FT MAOS'!B:J,8,FALSE)
)</f>
        <v>#N/A</v>
      </c>
      <c r="J52" s="29" t="e">
        <f ca="1">IFERROR(
    IF(VLOOKUP(B52,'SUMBER REKAP APAR'!F:O,8,FALSE)="",
        VLOOKUP(B52,'REKAP APAR FT MAOS'!B:J,9,FALSE),
        VLOOKUP(B52,'SUMBER REKAP APAR'!F:O,8,FALSE)
    ),
    VLOOKUP(B52,'REKAP APAR FT MAOS'!B:J,9,FALSE)
)</f>
        <v>#N/A</v>
      </c>
      <c r="K52" s="29" t="e">
        <f ca="1">IFERROR(
    IF(VLOOKUP(B52,'SUMBER REKAP APAR'!F:O,9,FALSE)="",
        VLOOKUP(B52,'REKAP APAR FT MAOS'!B:J,10,FALSE),
        VLOOKUP(B52,'SUMBER REKAP APAR'!F:O,9,FALSE)
    ),
    VLOOKUP(B52,'REKAP APAR FT MAOS'!B:J,10,FALSE)
)</f>
        <v>#N/A</v>
      </c>
      <c r="L52" s="29" t="e">
        <f ca="1">IFERROR(
    IF(VLOOKUP(B52,'SUMBER REKAP APAR'!F:O,10,FALSE)="",
        VLOOKUP(B52,'REKAP APAR FT MAOS'!B:J,11,FALSE),
        VLOOKUP(B52,'SUMBER REKAP APAR'!F:O,10,FALSE)
    ),
    VLOOKUP(B52,'REKAP APAR FT MAOS'!B:J,11,FALSE)
)</f>
        <v>#N/A</v>
      </c>
      <c r="M52" s="29" t="e">
        <f ca="1">IFERROR(
    IF(VLOOKUP(B52,'SUMBER REKAP APAR'!F:Q,11,FALSE)="",
        VLOOKUP(B52,'REKAP APAR FT MAOS'!B:J,12,FALSE),
        VLOOKUP(B52,'SUMBER REKAP APAR'!F:Q,11,FALSE)
    ),
    VLOOKUP(B52,'REKAP APAR FT MAOS'!B:J,12,FALSE)
)</f>
        <v>#N/A</v>
      </c>
      <c r="N52" s="32" t="e">
        <f t="shared" ref="N52:R52" ca="1" si="97">IF(OR($AA$1="",D52=""),"",D52-$AA$1)</f>
        <v>#N/A</v>
      </c>
      <c r="O52" s="32" t="e">
        <f t="shared" ca="1" si="97"/>
        <v>#N/A</v>
      </c>
      <c r="P52" s="32" t="e">
        <f t="shared" ca="1" si="97"/>
        <v>#N/A</v>
      </c>
      <c r="Q52" s="32" t="e">
        <f t="shared" ca="1" si="97"/>
        <v>#N/A</v>
      </c>
      <c r="R52" s="32" t="e">
        <f t="shared" ca="1" si="97"/>
        <v>#N/A</v>
      </c>
      <c r="S52" s="195"/>
      <c r="T52" s="33">
        <f t="shared" ref="T52:X52" ca="1" si="98">COUNTIF(N52, "&lt;30")</f>
        <v>0</v>
      </c>
      <c r="U52" s="33">
        <f t="shared" ca="1" si="98"/>
        <v>0</v>
      </c>
      <c r="V52" s="33">
        <f t="shared" ca="1" si="98"/>
        <v>0</v>
      </c>
      <c r="W52" s="33">
        <f t="shared" ca="1" si="98"/>
        <v>0</v>
      </c>
      <c r="X52" s="33">
        <f t="shared" ca="1" si="98"/>
        <v>0</v>
      </c>
      <c r="Y52" s="34">
        <f t="shared" ca="1" si="2"/>
        <v>0</v>
      </c>
    </row>
    <row r="53" spans="1:25" ht="17.399999999999999">
      <c r="A53" s="3">
        <v>50</v>
      </c>
      <c r="B53" s="3" t="s">
        <v>155</v>
      </c>
      <c r="C53" s="22" t="s">
        <v>70</v>
      </c>
      <c r="D53" s="29">
        <f ca="1">IFERROR(
    IF(VLOOKUP(B53,'SUMBER REKAP APAR'!F:O,2,FALSE)="",
        VLOOKUP(B53,'REKAP APAR FT MAOS'!B:J,3,FALSE),
        VLOOKUP(B53,'SUMBER REKAP APAR'!F:O,2,FALSE)
    ),
    VLOOKUP(B53,'REKAP APAR FT MAOS'!B:J,3,FALSE)
)</f>
        <v>46283</v>
      </c>
      <c r="E53" s="29">
        <f ca="1">IFERROR(
    IF(VLOOKUP(B53,'SUMBER REKAP APAR'!F:O,3,FALSE)="",
        VLOOKUP(B53,'REKAP APAR FT MAOS'!B:J,4,FALSE),
        VLOOKUP(B53,'SUMBER REKAP APAR'!F:O,3,FALSE)
    ),
    VLOOKUP(B53,'REKAP APAR FT MAOS'!B:J,4,FALSE)
)</f>
        <v>46283</v>
      </c>
      <c r="F53" s="29">
        <f ca="1">IFERROR(
    IF(VLOOKUP(B53,'SUMBER REKAP APAR'!F:O,4,FALSE)="",
        VLOOKUP(B53,'REKAP APAR FT MAOS'!B:J,5,FALSE),
        VLOOKUP(B53,'SUMBER REKAP APAR'!F:O,4,FALSE)
    ),
    VLOOKUP(B53,'REKAP APAR FT MAOS'!B:J,5,FALSE)
)</f>
        <v>0</v>
      </c>
      <c r="G53" s="29">
        <f ca="1">IFERROR(
    IF(VLOOKUP(B53,'SUMBER REKAP APAR'!F:O,5,FALSE)="",
        VLOOKUP(B53,'REKAP APAR FT MAOS'!B:J,6,FALSE),
        VLOOKUP(B53,'SUMBER REKAP APAR'!F:O,5,FALSE)
    ),
    VLOOKUP(B53,'REKAP APAR FT MAOS'!B:J,6,FALSE)
)</f>
        <v>0</v>
      </c>
      <c r="H53" s="29">
        <f ca="1">IFERROR(
    IF(VLOOKUP(B53,'SUMBER REKAP APAR'!F:O,6,FALSE)="",
        VLOOKUP(B53,'REKAP APAR FT MAOS'!B:J,7,FALSE),
        VLOOKUP(B53,'SUMBER REKAP APAR'!F:O,6,FALSE)
    ),
    VLOOKUP(B53,'REKAP APAR FT MAOS'!B:J,7,FALSE)
)</f>
        <v>46352</v>
      </c>
      <c r="I53" s="29">
        <f ca="1">IFERROR(
    IF(VLOOKUP(B53,'SUMBER REKAP APAR'!F:O,7,FALSE)="",
        VLOOKUP(B53,'REKAP APAR FT MAOS'!B:J,8,FALSE),
        VLOOKUP(B53,'SUMBER REKAP APAR'!F:O,7,FALSE)
    ),
    VLOOKUP(B53,'REKAP APAR FT MAOS'!B:J,8,FALSE)
)</f>
        <v>0</v>
      </c>
      <c r="J53" s="29">
        <f ca="1">IFERROR(
    IF(VLOOKUP(B53,'SUMBER REKAP APAR'!F:O,8,FALSE)="",
        VLOOKUP(B53,'REKAP APAR FT MAOS'!B:J,9,FALSE),
        VLOOKUP(B53,'SUMBER REKAP APAR'!F:O,8,FALSE)
    ),
    VLOOKUP(B53,'REKAP APAR FT MAOS'!B:J,9,FALSE)
)</f>
        <v>46325</v>
      </c>
      <c r="K53" s="29" t="e">
        <f ca="1">IFERROR(
    IF(VLOOKUP(B53,'SUMBER REKAP APAR'!F:O,9,FALSE)="",
        VLOOKUP(B53,'REKAP APAR FT MAOS'!B:J,10,FALSE),
        VLOOKUP(B53,'SUMBER REKAP APAR'!F:O,9,FALSE)
    ),
    VLOOKUP(B53,'REKAP APAR FT MAOS'!B:J,10,FALSE)
)</f>
        <v>#REF!</v>
      </c>
      <c r="L53" s="29" t="e">
        <f ca="1">IFERROR(
    IF(VLOOKUP(B53,'SUMBER REKAP APAR'!F:O,10,FALSE)="",
        VLOOKUP(B53,'REKAP APAR FT MAOS'!B:J,11,FALSE),
        VLOOKUP(B53,'SUMBER REKAP APAR'!F:O,10,FALSE)
    ),
    VLOOKUP(B53,'REKAP APAR FT MAOS'!B:J,11,FALSE)
)</f>
        <v>#REF!</v>
      </c>
      <c r="M53" s="29" t="e">
        <f ca="1">IFERROR(
    IF(VLOOKUP(B53,'SUMBER REKAP APAR'!F:Q,11,FALSE)="",
        VLOOKUP(B53,'REKAP APAR FT MAOS'!B:J,12,FALSE),
        VLOOKUP(B53,'SUMBER REKAP APAR'!F:Q,11,FALSE)
    ),
    VLOOKUP(B53,'REKAP APAR FT MAOS'!B:J,12,FALSE)
)</f>
        <v>#REF!</v>
      </c>
      <c r="N53" s="32">
        <f t="shared" ref="N53:R53" ca="1" si="99">IF(OR($AA$1="",D53=""),"",D53-$AA$1)</f>
        <v>-14</v>
      </c>
      <c r="O53" s="32">
        <f t="shared" ca="1" si="99"/>
        <v>-14</v>
      </c>
      <c r="P53" s="32">
        <f t="shared" ca="1" si="99"/>
        <v>-46297</v>
      </c>
      <c r="Q53" s="32">
        <f t="shared" ca="1" si="99"/>
        <v>-46297</v>
      </c>
      <c r="R53" s="32">
        <f t="shared" ca="1" si="99"/>
        <v>55</v>
      </c>
      <c r="S53" s="195"/>
      <c r="T53" s="33">
        <f t="shared" ref="T53:X53" ca="1" si="100">COUNTIF(N53, "&lt;30")</f>
        <v>1</v>
      </c>
      <c r="U53" s="33">
        <f t="shared" ca="1" si="100"/>
        <v>1</v>
      </c>
      <c r="V53" s="33">
        <f t="shared" ca="1" si="100"/>
        <v>1</v>
      </c>
      <c r="W53" s="33">
        <f t="shared" ca="1" si="100"/>
        <v>1</v>
      </c>
      <c r="X53" s="33">
        <f t="shared" ca="1" si="100"/>
        <v>0</v>
      </c>
      <c r="Y53" s="34">
        <f t="shared" ca="1" si="2"/>
        <v>4</v>
      </c>
    </row>
    <row r="54" spans="1:25" ht="17.399999999999999">
      <c r="A54" s="3">
        <v>51</v>
      </c>
      <c r="B54" s="3" t="s">
        <v>153</v>
      </c>
      <c r="C54" s="22" t="s">
        <v>70</v>
      </c>
      <c r="D54" s="29">
        <f ca="1">IFERROR(
    IF(VLOOKUP(B54,'SUMBER REKAP APAR'!F:O,2,FALSE)="",
        VLOOKUP(B54,'REKAP APAR FT MAOS'!B:J,3,FALSE),
        VLOOKUP(B54,'SUMBER REKAP APAR'!F:O,2,FALSE)
    ),
    VLOOKUP(B54,'REKAP APAR FT MAOS'!B:J,3,FALSE)
)</f>
        <v>46254</v>
      </c>
      <c r="E54" s="29">
        <f ca="1">IFERROR(
    IF(VLOOKUP(B54,'SUMBER REKAP APAR'!F:O,3,FALSE)="",
        VLOOKUP(B54,'REKAP APAR FT MAOS'!B:J,4,FALSE),
        VLOOKUP(B54,'SUMBER REKAP APAR'!F:O,3,FALSE)
    ),
    VLOOKUP(B54,'REKAP APAR FT MAOS'!B:J,4,FALSE)
)</f>
        <v>46254</v>
      </c>
      <c r="F54" s="29">
        <f ca="1">IFERROR(
    IF(VLOOKUP(B54,'SUMBER REKAP APAR'!F:O,4,FALSE)="",
        VLOOKUP(B54,'REKAP APAR FT MAOS'!B:J,5,FALSE),
        VLOOKUP(B54,'SUMBER REKAP APAR'!F:O,4,FALSE)
    ),
    VLOOKUP(B54,'REKAP APAR FT MAOS'!B:J,5,FALSE)
)</f>
        <v>0</v>
      </c>
      <c r="G54" s="29">
        <f ca="1">IFERROR(
    IF(VLOOKUP(B54,'SUMBER REKAP APAR'!F:O,5,FALSE)="",
        VLOOKUP(B54,'REKAP APAR FT MAOS'!B:J,6,FALSE),
        VLOOKUP(B54,'SUMBER REKAP APAR'!F:O,5,FALSE)
    ),
    VLOOKUP(B54,'REKAP APAR FT MAOS'!B:J,6,FALSE)
)</f>
        <v>0</v>
      </c>
      <c r="H54" s="29">
        <f ca="1">IFERROR(
    IF(VLOOKUP(B54,'SUMBER REKAP APAR'!F:O,6,FALSE)="",
        VLOOKUP(B54,'REKAP APAR FT MAOS'!B:J,7,FALSE),
        VLOOKUP(B54,'SUMBER REKAP APAR'!F:O,6,FALSE)
    ),
    VLOOKUP(B54,'REKAP APAR FT MAOS'!B:J,7,FALSE)
)</f>
        <v>46283</v>
      </c>
      <c r="I54" s="29">
        <f ca="1">IFERROR(
    IF(VLOOKUP(B54,'SUMBER REKAP APAR'!F:O,7,FALSE)="",
        VLOOKUP(B54,'REKAP APAR FT MAOS'!B:J,8,FALSE),
        VLOOKUP(B54,'SUMBER REKAP APAR'!F:O,7,FALSE)
    ),
    VLOOKUP(B54,'REKAP APAR FT MAOS'!B:J,8,FALSE)
)</f>
        <v>0</v>
      </c>
      <c r="J54" s="29">
        <f ca="1">IFERROR(
    IF(VLOOKUP(B54,'SUMBER REKAP APAR'!F:O,8,FALSE)="",
        VLOOKUP(B54,'REKAP APAR FT MAOS'!B:J,9,FALSE),
        VLOOKUP(B54,'SUMBER REKAP APAR'!F:O,8,FALSE)
    ),
    VLOOKUP(B54,'REKAP APAR FT MAOS'!B:J,9,FALSE)
)</f>
        <v>46283</v>
      </c>
      <c r="K54" s="29" t="e">
        <f ca="1">IFERROR(
    IF(VLOOKUP(B54,'SUMBER REKAP APAR'!F:O,9,FALSE)="",
        VLOOKUP(B54,'REKAP APAR FT MAOS'!B:J,10,FALSE),
        VLOOKUP(B54,'SUMBER REKAP APAR'!F:O,9,FALSE)
    ),
    VLOOKUP(B54,'REKAP APAR FT MAOS'!B:J,10,FALSE)
)</f>
        <v>#REF!</v>
      </c>
      <c r="L54" s="29" t="e">
        <f ca="1">IFERROR(
    IF(VLOOKUP(B54,'SUMBER REKAP APAR'!F:O,10,FALSE)="",
        VLOOKUP(B54,'REKAP APAR FT MAOS'!B:J,11,FALSE),
        VLOOKUP(B54,'SUMBER REKAP APAR'!F:O,10,FALSE)
    ),
    VLOOKUP(B54,'REKAP APAR FT MAOS'!B:J,11,FALSE)
)</f>
        <v>#REF!</v>
      </c>
      <c r="M54" s="29" t="e">
        <f ca="1">IFERROR(
    IF(VLOOKUP(B54,'SUMBER REKAP APAR'!F:Q,11,FALSE)="",
        VLOOKUP(B54,'REKAP APAR FT MAOS'!B:J,12,FALSE),
        VLOOKUP(B54,'SUMBER REKAP APAR'!F:Q,11,FALSE)
    ),
    VLOOKUP(B54,'REKAP APAR FT MAOS'!B:J,12,FALSE)
)</f>
        <v>#REF!</v>
      </c>
      <c r="N54" s="32">
        <f t="shared" ref="N54:R54" ca="1" si="101">IF(OR($AA$1="",D54=""),"",D54-$AA$1)</f>
        <v>-43</v>
      </c>
      <c r="O54" s="32">
        <f t="shared" ca="1" si="101"/>
        <v>-43</v>
      </c>
      <c r="P54" s="32">
        <f t="shared" ca="1" si="101"/>
        <v>-46297</v>
      </c>
      <c r="Q54" s="32">
        <f t="shared" ca="1" si="101"/>
        <v>-46297</v>
      </c>
      <c r="R54" s="32">
        <f t="shared" ca="1" si="101"/>
        <v>-14</v>
      </c>
      <c r="S54" s="195"/>
      <c r="T54" s="33">
        <f t="shared" ref="T54:X54" ca="1" si="102">COUNTIF(N54, "&lt;30")</f>
        <v>1</v>
      </c>
      <c r="U54" s="33">
        <f t="shared" ca="1" si="102"/>
        <v>1</v>
      </c>
      <c r="V54" s="33">
        <f t="shared" ca="1" si="102"/>
        <v>1</v>
      </c>
      <c r="W54" s="33">
        <f t="shared" ca="1" si="102"/>
        <v>1</v>
      </c>
      <c r="X54" s="33">
        <f t="shared" ca="1" si="102"/>
        <v>1</v>
      </c>
      <c r="Y54" s="34">
        <f t="shared" ca="1" si="2"/>
        <v>5</v>
      </c>
    </row>
    <row r="55" spans="1:25" ht="17.399999999999999">
      <c r="A55" s="3">
        <v>52</v>
      </c>
      <c r="B55" s="3" t="s">
        <v>77</v>
      </c>
      <c r="C55" s="22" t="s">
        <v>70</v>
      </c>
      <c r="D55" s="29" t="e">
        <f ca="1">IFERROR(
    IF(VLOOKUP(B55,'SUMBER REKAP APAR'!F:O,2,FALSE)="",
        VLOOKUP(B55,'REKAP APAR FT MAOS'!B:J,3,FALSE),
        VLOOKUP(B55,'SUMBER REKAP APAR'!F:O,2,FALSE)
    ),
    VLOOKUP(B55,'REKAP APAR FT MAOS'!B:J,3,FALSE)
)</f>
        <v>#N/A</v>
      </c>
      <c r="E55" s="29" t="e">
        <f ca="1">IFERROR(
    IF(VLOOKUP(B55,'SUMBER REKAP APAR'!F:O,3,FALSE)="",
        VLOOKUP(B55,'REKAP APAR FT MAOS'!B:J,4,FALSE),
        VLOOKUP(B55,'SUMBER REKAP APAR'!F:O,3,FALSE)
    ),
    VLOOKUP(B55,'REKAP APAR FT MAOS'!B:J,4,FALSE)
)</f>
        <v>#N/A</v>
      </c>
      <c r="F55" s="29" t="e">
        <f ca="1">IFERROR(
    IF(VLOOKUP(B55,'SUMBER REKAP APAR'!F:O,4,FALSE)="",
        VLOOKUP(B55,'REKAP APAR FT MAOS'!B:J,5,FALSE),
        VLOOKUP(B55,'SUMBER REKAP APAR'!F:O,4,FALSE)
    ),
    VLOOKUP(B55,'REKAP APAR FT MAOS'!B:J,5,FALSE)
)</f>
        <v>#N/A</v>
      </c>
      <c r="G55" s="29" t="e">
        <f ca="1">IFERROR(
    IF(VLOOKUP(B55,'SUMBER REKAP APAR'!F:O,5,FALSE)="",
        VLOOKUP(B55,'REKAP APAR FT MAOS'!B:J,6,FALSE),
        VLOOKUP(B55,'SUMBER REKAP APAR'!F:O,5,FALSE)
    ),
    VLOOKUP(B55,'REKAP APAR FT MAOS'!B:J,6,FALSE)
)</f>
        <v>#N/A</v>
      </c>
      <c r="H55" s="29" t="e">
        <f ca="1">IFERROR(
    IF(VLOOKUP(B55,'SUMBER REKAP APAR'!F:O,6,FALSE)="",
        VLOOKUP(B55,'REKAP APAR FT MAOS'!B:J,7,FALSE),
        VLOOKUP(B55,'SUMBER REKAP APAR'!F:O,6,FALSE)
    ),
    VLOOKUP(B55,'REKAP APAR FT MAOS'!B:J,7,FALSE)
)</f>
        <v>#N/A</v>
      </c>
      <c r="I55" s="29" t="e">
        <f ca="1">IFERROR(
    IF(VLOOKUP(B55,'SUMBER REKAP APAR'!F:O,7,FALSE)="",
        VLOOKUP(B55,'REKAP APAR FT MAOS'!B:J,8,FALSE),
        VLOOKUP(B55,'SUMBER REKAP APAR'!F:O,7,FALSE)
    ),
    VLOOKUP(B55,'REKAP APAR FT MAOS'!B:J,8,FALSE)
)</f>
        <v>#N/A</v>
      </c>
      <c r="J55" s="29" t="e">
        <f ca="1">IFERROR(
    IF(VLOOKUP(B55,'SUMBER REKAP APAR'!F:O,8,FALSE)="",
        VLOOKUP(B55,'REKAP APAR FT MAOS'!B:J,9,FALSE),
        VLOOKUP(B55,'SUMBER REKAP APAR'!F:O,8,FALSE)
    ),
    VLOOKUP(B55,'REKAP APAR FT MAOS'!B:J,9,FALSE)
)</f>
        <v>#N/A</v>
      </c>
      <c r="K55" s="29" t="e">
        <f ca="1">IFERROR(
    IF(VLOOKUP(B55,'SUMBER REKAP APAR'!F:O,9,FALSE)="",
        VLOOKUP(B55,'REKAP APAR FT MAOS'!B:J,10,FALSE),
        VLOOKUP(B55,'SUMBER REKAP APAR'!F:O,9,FALSE)
    ),
    VLOOKUP(B55,'REKAP APAR FT MAOS'!B:J,10,FALSE)
)</f>
        <v>#N/A</v>
      </c>
      <c r="L55" s="29" t="e">
        <f ca="1">IFERROR(
    IF(VLOOKUP(B55,'SUMBER REKAP APAR'!F:O,10,FALSE)="",
        VLOOKUP(B55,'REKAP APAR FT MAOS'!B:J,11,FALSE),
        VLOOKUP(B55,'SUMBER REKAP APAR'!F:O,10,FALSE)
    ),
    VLOOKUP(B55,'REKAP APAR FT MAOS'!B:J,11,FALSE)
)</f>
        <v>#N/A</v>
      </c>
      <c r="M55" s="29" t="e">
        <f ca="1">IFERROR(
    IF(VLOOKUP(B55,'SUMBER REKAP APAR'!F:Q,11,FALSE)="",
        VLOOKUP(B55,'REKAP APAR FT MAOS'!B:J,12,FALSE),
        VLOOKUP(B55,'SUMBER REKAP APAR'!F:Q,11,FALSE)
    ),
    VLOOKUP(B55,'REKAP APAR FT MAOS'!B:J,12,FALSE)
)</f>
        <v>#N/A</v>
      </c>
      <c r="N55" s="32" t="e">
        <f t="shared" ref="N55:R55" ca="1" si="103">IF(OR($AA$1="",D55=""),"",D55-$AA$1)</f>
        <v>#N/A</v>
      </c>
      <c r="O55" s="32" t="e">
        <f t="shared" ca="1" si="103"/>
        <v>#N/A</v>
      </c>
      <c r="P55" s="32" t="e">
        <f t="shared" ca="1" si="103"/>
        <v>#N/A</v>
      </c>
      <c r="Q55" s="32" t="e">
        <f t="shared" ca="1" si="103"/>
        <v>#N/A</v>
      </c>
      <c r="R55" s="32" t="e">
        <f t="shared" ca="1" si="103"/>
        <v>#N/A</v>
      </c>
      <c r="S55" s="195"/>
      <c r="T55" s="33">
        <f t="shared" ref="T55:X55" ca="1" si="104">COUNTIF(N55, "&lt;30")</f>
        <v>0</v>
      </c>
      <c r="U55" s="33">
        <f t="shared" ca="1" si="104"/>
        <v>0</v>
      </c>
      <c r="V55" s="33">
        <f t="shared" ca="1" si="104"/>
        <v>0</v>
      </c>
      <c r="W55" s="33">
        <f t="shared" ca="1" si="104"/>
        <v>0</v>
      </c>
      <c r="X55" s="33">
        <f t="shared" ca="1" si="104"/>
        <v>0</v>
      </c>
      <c r="Y55" s="34">
        <f t="shared" ca="1" si="2"/>
        <v>0</v>
      </c>
    </row>
    <row r="56" spans="1:25" ht="17.399999999999999">
      <c r="A56" s="3">
        <v>53</v>
      </c>
      <c r="B56" s="3" t="s">
        <v>159</v>
      </c>
      <c r="C56" s="22" t="s">
        <v>70</v>
      </c>
      <c r="D56" s="29">
        <f ca="1">IFERROR(
    IF(VLOOKUP(B56,'SUMBER REKAP APAR'!F:O,2,FALSE)="",
        VLOOKUP(B56,'REKAP APAR FT MAOS'!B:J,3,FALSE),
        VLOOKUP(B56,'SUMBER REKAP APAR'!F:O,2,FALSE)
    ),
    VLOOKUP(B56,'REKAP APAR FT MAOS'!B:J,3,FALSE)
)</f>
        <v>46053</v>
      </c>
      <c r="E56" s="29">
        <f ca="1">IFERROR(
    IF(VLOOKUP(B56,'SUMBER REKAP APAR'!F:O,3,FALSE)="",
        VLOOKUP(B56,'REKAP APAR FT MAOS'!B:J,4,FALSE),
        VLOOKUP(B56,'SUMBER REKAP APAR'!F:O,3,FALSE)
    ),
    VLOOKUP(B56,'REKAP APAR FT MAOS'!B:J,4,FALSE)
)</f>
        <v>46053</v>
      </c>
      <c r="F56" s="29">
        <f ca="1">IFERROR(
    IF(VLOOKUP(B56,'SUMBER REKAP APAR'!F:O,4,FALSE)="",
        VLOOKUP(B56,'REKAP APAR FT MAOS'!B:J,5,FALSE),
        VLOOKUP(B56,'SUMBER REKAP APAR'!F:O,4,FALSE)
    ),
    VLOOKUP(B56,'REKAP APAR FT MAOS'!B:J,5,FALSE)
)</f>
        <v>46053</v>
      </c>
      <c r="G56" s="29">
        <f ca="1">IFERROR(
    IF(VLOOKUP(B56,'SUMBER REKAP APAR'!F:O,5,FALSE)="",
        VLOOKUP(B56,'REKAP APAR FT MAOS'!B:J,6,FALSE),
        VLOOKUP(B56,'SUMBER REKAP APAR'!F:O,5,FALSE)
    ),
    VLOOKUP(B56,'REKAP APAR FT MAOS'!B:J,6,FALSE)
)</f>
        <v>46053</v>
      </c>
      <c r="H56" s="29">
        <f ca="1">IFERROR(
    IF(VLOOKUP(B56,'SUMBER REKAP APAR'!F:O,6,FALSE)="",
        VLOOKUP(B56,'REKAP APAR FT MAOS'!B:J,7,FALSE),
        VLOOKUP(B56,'SUMBER REKAP APAR'!F:O,6,FALSE)
    ),
    VLOOKUP(B56,'REKAP APAR FT MAOS'!B:J,7,FALSE)
)</f>
        <v>0</v>
      </c>
      <c r="I56" s="29">
        <f ca="1">IFERROR(
    IF(VLOOKUP(B56,'SUMBER REKAP APAR'!F:O,7,FALSE)="",
        VLOOKUP(B56,'REKAP APAR FT MAOS'!B:J,8,FALSE),
        VLOOKUP(B56,'SUMBER REKAP APAR'!F:O,7,FALSE)
    ),
    VLOOKUP(B56,'REKAP APAR FT MAOS'!B:J,8,FALSE)
)</f>
        <v>0</v>
      </c>
      <c r="J56" s="29">
        <f ca="1">IFERROR(
    IF(VLOOKUP(B56,'SUMBER REKAP APAR'!F:O,8,FALSE)="",
        VLOOKUP(B56,'REKAP APAR FT MAOS'!B:J,9,FALSE),
        VLOOKUP(B56,'SUMBER REKAP APAR'!F:O,8,FALSE)
    ),
    VLOOKUP(B56,'REKAP APAR FT MAOS'!B:J,9,FALSE)
)</f>
        <v>46418</v>
      </c>
      <c r="K56" s="29" t="e">
        <f ca="1">IFERROR(
    IF(VLOOKUP(B56,'SUMBER REKAP APAR'!F:O,9,FALSE)="",
        VLOOKUP(B56,'REKAP APAR FT MAOS'!B:J,10,FALSE),
        VLOOKUP(B56,'SUMBER REKAP APAR'!F:O,9,FALSE)
    ),
    VLOOKUP(B56,'REKAP APAR FT MAOS'!B:J,10,FALSE)
)</f>
        <v>#REF!</v>
      </c>
      <c r="L56" s="29" t="e">
        <f ca="1">IFERROR(
    IF(VLOOKUP(B56,'SUMBER REKAP APAR'!F:O,10,FALSE)="",
        VLOOKUP(B56,'REKAP APAR FT MAOS'!B:J,11,FALSE),
        VLOOKUP(B56,'SUMBER REKAP APAR'!F:O,10,FALSE)
    ),
    VLOOKUP(B56,'REKAP APAR FT MAOS'!B:J,11,FALSE)
)</f>
        <v>#REF!</v>
      </c>
      <c r="M56" s="29" t="e">
        <f ca="1">IFERROR(
    IF(VLOOKUP(B56,'SUMBER REKAP APAR'!F:Q,11,FALSE)="",
        VLOOKUP(B56,'REKAP APAR FT MAOS'!B:J,12,FALSE),
        VLOOKUP(B56,'SUMBER REKAP APAR'!F:Q,11,FALSE)
    ),
    VLOOKUP(B56,'REKAP APAR FT MAOS'!B:J,12,FALSE)
)</f>
        <v>#REF!</v>
      </c>
      <c r="N56" s="32">
        <f t="shared" ref="N56:R56" ca="1" si="105">IF(OR($AA$1="",D56=""),"",D56-$AA$1)</f>
        <v>-244</v>
      </c>
      <c r="O56" s="32">
        <f t="shared" ca="1" si="105"/>
        <v>-244</v>
      </c>
      <c r="P56" s="32">
        <f t="shared" ca="1" si="105"/>
        <v>-244</v>
      </c>
      <c r="Q56" s="32">
        <f t="shared" ca="1" si="105"/>
        <v>-244</v>
      </c>
      <c r="R56" s="32">
        <f t="shared" ca="1" si="105"/>
        <v>-46297</v>
      </c>
      <c r="S56" s="195"/>
      <c r="T56" s="33">
        <f t="shared" ref="T56:X56" ca="1" si="106">COUNTIF(N56, "&lt;30")</f>
        <v>1</v>
      </c>
      <c r="U56" s="33">
        <f t="shared" ca="1" si="106"/>
        <v>1</v>
      </c>
      <c r="V56" s="33">
        <f t="shared" ca="1" si="106"/>
        <v>1</v>
      </c>
      <c r="W56" s="33">
        <f t="shared" ca="1" si="106"/>
        <v>1</v>
      </c>
      <c r="X56" s="33">
        <f t="shared" ca="1" si="106"/>
        <v>1</v>
      </c>
      <c r="Y56" s="34">
        <f t="shared" ca="1" si="2"/>
        <v>5</v>
      </c>
    </row>
    <row r="57" spans="1:25" ht="17.399999999999999">
      <c r="A57" s="3">
        <v>54</v>
      </c>
      <c r="B57" s="3" t="s">
        <v>30</v>
      </c>
      <c r="C57" s="22" t="s">
        <v>187</v>
      </c>
      <c r="D57" s="29">
        <f ca="1">IFERROR(
    IF(VLOOKUP(B57,'SUMBER REKAP APAR'!F:O,2,FALSE)="",
        VLOOKUP(B57,'REKAP APAR FT MAOS'!B:J,3,FALSE),
        VLOOKUP(B57,'SUMBER REKAP APAR'!F:O,2,FALSE)
    ),
    VLOOKUP(B57,'REKAP APAR FT MAOS'!B:J,3,FALSE)
)</f>
        <v>46254</v>
      </c>
      <c r="E57" s="29">
        <f ca="1">IFERROR(
    IF(VLOOKUP(B57,'SUMBER REKAP APAR'!F:O,3,FALSE)="",
        VLOOKUP(B57,'REKAP APAR FT MAOS'!B:J,4,FALSE),
        VLOOKUP(B57,'SUMBER REKAP APAR'!F:O,3,FALSE)
    ),
    VLOOKUP(B57,'REKAP APAR FT MAOS'!B:J,4,FALSE)
)</f>
        <v>46254</v>
      </c>
      <c r="F57" s="29">
        <f ca="1">IFERROR(
    IF(VLOOKUP(B57,'SUMBER REKAP APAR'!F:O,4,FALSE)="",
        VLOOKUP(B57,'REKAP APAR FT MAOS'!B:J,5,FALSE),
        VLOOKUP(B57,'SUMBER REKAP APAR'!F:O,4,FALSE)
    ),
    VLOOKUP(B57,'REKAP APAR FT MAOS'!B:J,5,FALSE)
)</f>
        <v>46111</v>
      </c>
      <c r="G57" s="29">
        <f ca="1">IFERROR(
    IF(VLOOKUP(B57,'SUMBER REKAP APAR'!F:O,5,FALSE)="",
        VLOOKUP(B57,'REKAP APAR FT MAOS'!B:J,6,FALSE),
        VLOOKUP(B57,'SUMBER REKAP APAR'!F:O,5,FALSE)
    ),
    VLOOKUP(B57,'REKAP APAR FT MAOS'!B:J,6,FALSE)
)</f>
        <v>46111</v>
      </c>
      <c r="H57" s="29">
        <f ca="1">IFERROR(
    IF(VLOOKUP(B57,'SUMBER REKAP APAR'!F:O,6,FALSE)="",
        VLOOKUP(B57,'REKAP APAR FT MAOS'!B:J,7,FALSE),
        VLOOKUP(B57,'SUMBER REKAP APAR'!F:O,6,FALSE)
    ),
    VLOOKUP(B57,'REKAP APAR FT MAOS'!B:J,7,FALSE)
)</f>
        <v>46292</v>
      </c>
      <c r="I57" s="29">
        <f ca="1">IFERROR(
    IF(VLOOKUP(B57,'SUMBER REKAP APAR'!F:O,7,FALSE)="",
        VLOOKUP(B57,'REKAP APAR FT MAOS'!B:J,8,FALSE),
        VLOOKUP(B57,'SUMBER REKAP APAR'!F:O,7,FALSE)
    ),
    VLOOKUP(B57,'REKAP APAR FT MAOS'!B:J,8,FALSE)
)</f>
        <v>0</v>
      </c>
      <c r="J57" s="29">
        <f ca="1">IFERROR(
    IF(VLOOKUP(B57,'SUMBER REKAP APAR'!F:O,8,FALSE)="",
        VLOOKUP(B57,'REKAP APAR FT MAOS'!B:J,9,FALSE),
        VLOOKUP(B57,'SUMBER REKAP APAR'!F:O,8,FALSE)
    ),
    VLOOKUP(B57,'REKAP APAR FT MAOS'!B:J,9,FALSE)
)</f>
        <v>46292</v>
      </c>
      <c r="K57" s="29" t="e">
        <f ca="1">IFERROR(
    IF(VLOOKUP(B57,'SUMBER REKAP APAR'!F:O,9,FALSE)="",
        VLOOKUP(B57,'REKAP APAR FT MAOS'!B:J,10,FALSE),
        VLOOKUP(B57,'SUMBER REKAP APAR'!F:O,9,FALSE)
    ),
    VLOOKUP(B57,'REKAP APAR FT MAOS'!B:J,10,FALSE)
)</f>
        <v>#REF!</v>
      </c>
      <c r="L57" s="29" t="e">
        <f ca="1">IFERROR(
    IF(VLOOKUP(B57,'SUMBER REKAP APAR'!F:O,10,FALSE)="",
        VLOOKUP(B57,'REKAP APAR FT MAOS'!B:J,11,FALSE),
        VLOOKUP(B57,'SUMBER REKAP APAR'!F:O,10,FALSE)
    ),
    VLOOKUP(B57,'REKAP APAR FT MAOS'!B:J,11,FALSE)
)</f>
        <v>#REF!</v>
      </c>
      <c r="M57" s="29" t="e">
        <f ca="1">IFERROR(
    IF(VLOOKUP(B57,'SUMBER REKAP APAR'!F:Q,11,FALSE)="",
        VLOOKUP(B57,'REKAP APAR FT MAOS'!B:J,12,FALSE),
        VLOOKUP(B57,'SUMBER REKAP APAR'!F:Q,11,FALSE)
    ),
    VLOOKUP(B57,'REKAP APAR FT MAOS'!B:J,12,FALSE)
)</f>
        <v>#REF!</v>
      </c>
      <c r="N57" s="32">
        <f t="shared" ref="N57:R57" ca="1" si="107">IF(OR($AA$1="",D57=""),"",D57-$AA$1)</f>
        <v>-43</v>
      </c>
      <c r="O57" s="32">
        <f t="shared" ca="1" si="107"/>
        <v>-43</v>
      </c>
      <c r="P57" s="32">
        <f t="shared" ca="1" si="107"/>
        <v>-186</v>
      </c>
      <c r="Q57" s="32">
        <f t="shared" ca="1" si="107"/>
        <v>-186</v>
      </c>
      <c r="R57" s="32">
        <f t="shared" ca="1" si="107"/>
        <v>-5</v>
      </c>
      <c r="S57" s="195"/>
      <c r="T57" s="33">
        <f t="shared" ref="T57:X57" ca="1" si="108">COUNTIF(N57, "&lt;30")</f>
        <v>1</v>
      </c>
      <c r="U57" s="33">
        <f t="shared" ca="1" si="108"/>
        <v>1</v>
      </c>
      <c r="V57" s="33">
        <f t="shared" ca="1" si="108"/>
        <v>1</v>
      </c>
      <c r="W57" s="33">
        <f t="shared" ca="1" si="108"/>
        <v>1</v>
      </c>
      <c r="X57" s="33">
        <f t="shared" ca="1" si="108"/>
        <v>1</v>
      </c>
      <c r="Y57" s="34">
        <f t="shared" ca="1" si="2"/>
        <v>5</v>
      </c>
    </row>
    <row r="58" spans="1:25" ht="17.399999999999999">
      <c r="A58" s="3">
        <v>55</v>
      </c>
      <c r="B58" s="3" t="s">
        <v>35</v>
      </c>
      <c r="C58" s="22" t="s">
        <v>187</v>
      </c>
      <c r="D58" s="29">
        <f ca="1">IFERROR(
    IF(VLOOKUP(B58,'SUMBER REKAP APAR'!F:O,2,FALSE)="",
        VLOOKUP(B58,'REKAP APAR FT MAOS'!B:J,3,FALSE),
        VLOOKUP(B58,'SUMBER REKAP APAR'!F:O,2,FALSE)
    ),
    VLOOKUP(B58,'REKAP APAR FT MAOS'!B:J,3,FALSE)
)</f>
        <v>46292</v>
      </c>
      <c r="E58" s="29">
        <f ca="1">IFERROR(
    IF(VLOOKUP(B58,'SUMBER REKAP APAR'!F:O,3,FALSE)="",
        VLOOKUP(B58,'REKAP APAR FT MAOS'!B:J,4,FALSE),
        VLOOKUP(B58,'SUMBER REKAP APAR'!F:O,3,FALSE)
    ),
    VLOOKUP(B58,'REKAP APAR FT MAOS'!B:J,4,FALSE)
)</f>
        <v>46292</v>
      </c>
      <c r="F58" s="29">
        <f ca="1">IFERROR(
    IF(VLOOKUP(B58,'SUMBER REKAP APAR'!F:O,4,FALSE)="",
        VLOOKUP(B58,'REKAP APAR FT MAOS'!B:J,5,FALSE),
        VLOOKUP(B58,'SUMBER REKAP APAR'!F:O,4,FALSE)
    ),
    VLOOKUP(B58,'REKAP APAR FT MAOS'!B:J,5,FALSE)
)</f>
        <v>46325</v>
      </c>
      <c r="G58" s="29">
        <f ca="1">IFERROR(
    IF(VLOOKUP(B58,'SUMBER REKAP APAR'!F:O,5,FALSE)="",
        VLOOKUP(B58,'REKAP APAR FT MAOS'!B:J,6,FALSE),
        VLOOKUP(B58,'SUMBER REKAP APAR'!F:O,5,FALSE)
    ),
    VLOOKUP(B58,'REKAP APAR FT MAOS'!B:J,6,FALSE)
)</f>
        <v>0</v>
      </c>
      <c r="H58" s="29">
        <f ca="1">IFERROR(
    IF(VLOOKUP(B58,'SUMBER REKAP APAR'!F:O,6,FALSE)="",
        VLOOKUP(B58,'REKAP APAR FT MAOS'!B:J,7,FALSE),
        VLOOKUP(B58,'SUMBER REKAP APAR'!F:O,6,FALSE)
    ),
    VLOOKUP(B58,'REKAP APAR FT MAOS'!B:J,7,FALSE)
)</f>
        <v>0</v>
      </c>
      <c r="I58" s="29">
        <f ca="1">IFERROR(
    IF(VLOOKUP(B58,'SUMBER REKAP APAR'!F:O,7,FALSE)="",
        VLOOKUP(B58,'REKAP APAR FT MAOS'!B:J,8,FALSE),
        VLOOKUP(B58,'SUMBER REKAP APAR'!F:O,7,FALSE)
    ),
    VLOOKUP(B58,'REKAP APAR FT MAOS'!B:J,8,FALSE)
)</f>
        <v>0</v>
      </c>
      <c r="J58" s="29">
        <f ca="1">IFERROR(
    IF(VLOOKUP(B58,'SUMBER REKAP APAR'!F:O,8,FALSE)="",
        VLOOKUP(B58,'REKAP APAR FT MAOS'!B:J,9,FALSE),
        VLOOKUP(B58,'SUMBER REKAP APAR'!F:O,8,FALSE)
    ),
    VLOOKUP(B58,'REKAP APAR FT MAOS'!B:J,9,FALSE)
)</f>
        <v>46325</v>
      </c>
      <c r="K58" s="29" t="e">
        <f ca="1">IFERROR(
    IF(VLOOKUP(B58,'SUMBER REKAP APAR'!F:O,9,FALSE)="",
        VLOOKUP(B58,'REKAP APAR FT MAOS'!B:J,10,FALSE),
        VLOOKUP(B58,'SUMBER REKAP APAR'!F:O,9,FALSE)
    ),
    VLOOKUP(B58,'REKAP APAR FT MAOS'!B:J,10,FALSE)
)</f>
        <v>#REF!</v>
      </c>
      <c r="L58" s="29" t="e">
        <f ca="1">IFERROR(
    IF(VLOOKUP(B58,'SUMBER REKAP APAR'!F:O,10,FALSE)="",
        VLOOKUP(B58,'REKAP APAR FT MAOS'!B:J,11,FALSE),
        VLOOKUP(B58,'SUMBER REKAP APAR'!F:O,10,FALSE)
    ),
    VLOOKUP(B58,'REKAP APAR FT MAOS'!B:J,11,FALSE)
)</f>
        <v>#REF!</v>
      </c>
      <c r="M58" s="29" t="e">
        <f ca="1">IFERROR(
    IF(VLOOKUP(B58,'SUMBER REKAP APAR'!F:Q,11,FALSE)="",
        VLOOKUP(B58,'REKAP APAR FT MAOS'!B:J,12,FALSE),
        VLOOKUP(B58,'SUMBER REKAP APAR'!F:Q,11,FALSE)
    ),
    VLOOKUP(B58,'REKAP APAR FT MAOS'!B:J,12,FALSE)
)</f>
        <v>#REF!</v>
      </c>
      <c r="N58" s="32">
        <f t="shared" ref="N58:R58" ca="1" si="109">IF(OR($AA$1="",D58=""),"",D58-$AA$1)</f>
        <v>-5</v>
      </c>
      <c r="O58" s="32">
        <f t="shared" ca="1" si="109"/>
        <v>-5</v>
      </c>
      <c r="P58" s="32">
        <f t="shared" ca="1" si="109"/>
        <v>28</v>
      </c>
      <c r="Q58" s="32">
        <f t="shared" ca="1" si="109"/>
        <v>-46297</v>
      </c>
      <c r="R58" s="32">
        <f t="shared" ca="1" si="109"/>
        <v>-46297</v>
      </c>
      <c r="S58" s="195"/>
      <c r="T58" s="33">
        <f t="shared" ref="T58:X58" ca="1" si="110">COUNTIF(N58, "&lt;30")</f>
        <v>1</v>
      </c>
      <c r="U58" s="33">
        <f t="shared" ca="1" si="110"/>
        <v>1</v>
      </c>
      <c r="V58" s="33">
        <f t="shared" ca="1" si="110"/>
        <v>1</v>
      </c>
      <c r="W58" s="33">
        <f t="shared" ca="1" si="110"/>
        <v>1</v>
      </c>
      <c r="X58" s="33">
        <f t="shared" ca="1" si="110"/>
        <v>1</v>
      </c>
      <c r="Y58" s="34">
        <f t="shared" ca="1" si="2"/>
        <v>5</v>
      </c>
    </row>
    <row r="59" spans="1:25" ht="17.399999999999999">
      <c r="A59" s="3">
        <v>56</v>
      </c>
      <c r="B59" s="3" t="s">
        <v>190</v>
      </c>
      <c r="C59" s="22" t="s">
        <v>108</v>
      </c>
      <c r="D59" s="29" t="e">
        <f ca="1">IFERROR(
    IF(VLOOKUP(B59,'SUMBER REKAP APAR'!F:O,2,FALSE)="",
        VLOOKUP(B59,'REKAP APAR FT MAOS'!B:J,3,FALSE),
        VLOOKUP(B59,'SUMBER REKAP APAR'!F:O,2,FALSE)
    ),
    VLOOKUP(B59,'REKAP APAR FT MAOS'!B:J,3,FALSE)
)</f>
        <v>#N/A</v>
      </c>
      <c r="E59" s="29" t="e">
        <f ca="1">IFERROR(
    IF(VLOOKUP(B59,'SUMBER REKAP APAR'!F:O,3,FALSE)="",
        VLOOKUP(B59,'REKAP APAR FT MAOS'!B:J,4,FALSE),
        VLOOKUP(B59,'SUMBER REKAP APAR'!F:O,3,FALSE)
    ),
    VLOOKUP(B59,'REKAP APAR FT MAOS'!B:J,4,FALSE)
)</f>
        <v>#N/A</v>
      </c>
      <c r="F59" s="29" t="e">
        <f ca="1">IFERROR(
    IF(VLOOKUP(B59,'SUMBER REKAP APAR'!F:O,4,FALSE)="",
        VLOOKUP(B59,'REKAP APAR FT MAOS'!B:J,5,FALSE),
        VLOOKUP(B59,'SUMBER REKAP APAR'!F:O,4,FALSE)
    ),
    VLOOKUP(B59,'REKAP APAR FT MAOS'!B:J,5,FALSE)
)</f>
        <v>#N/A</v>
      </c>
      <c r="G59" s="29" t="e">
        <f ca="1">IFERROR(
    IF(VLOOKUP(B59,'SUMBER REKAP APAR'!F:O,5,FALSE)="",
        VLOOKUP(B59,'REKAP APAR FT MAOS'!B:J,6,FALSE),
        VLOOKUP(B59,'SUMBER REKAP APAR'!F:O,5,FALSE)
    ),
    VLOOKUP(B59,'REKAP APAR FT MAOS'!B:J,6,FALSE)
)</f>
        <v>#N/A</v>
      </c>
      <c r="H59" s="29" t="e">
        <f ca="1">IFERROR(
    IF(VLOOKUP(B59,'SUMBER REKAP APAR'!F:O,6,FALSE)="",
        VLOOKUP(B59,'REKAP APAR FT MAOS'!B:J,7,FALSE),
        VLOOKUP(B59,'SUMBER REKAP APAR'!F:O,6,FALSE)
    ),
    VLOOKUP(B59,'REKAP APAR FT MAOS'!B:J,7,FALSE)
)</f>
        <v>#N/A</v>
      </c>
      <c r="I59" s="29" t="e">
        <f ca="1">IFERROR(
    IF(VLOOKUP(B59,'SUMBER REKAP APAR'!F:O,7,FALSE)="",
        VLOOKUP(B59,'REKAP APAR FT MAOS'!B:J,8,FALSE),
        VLOOKUP(B59,'SUMBER REKAP APAR'!F:O,7,FALSE)
    ),
    VLOOKUP(B59,'REKAP APAR FT MAOS'!B:J,8,FALSE)
)</f>
        <v>#N/A</v>
      </c>
      <c r="J59" s="29" t="e">
        <f ca="1">IFERROR(
    IF(VLOOKUP(B59,'SUMBER REKAP APAR'!F:O,8,FALSE)="",
        VLOOKUP(B59,'REKAP APAR FT MAOS'!B:J,9,FALSE),
        VLOOKUP(B59,'SUMBER REKAP APAR'!F:O,8,FALSE)
    ),
    VLOOKUP(B59,'REKAP APAR FT MAOS'!B:J,9,FALSE)
)</f>
        <v>#N/A</v>
      </c>
      <c r="K59" s="29" t="e">
        <f ca="1">IFERROR(
    IF(VLOOKUP(B59,'SUMBER REKAP APAR'!F:O,9,FALSE)="",
        VLOOKUP(B59,'REKAP APAR FT MAOS'!B:J,10,FALSE),
        VLOOKUP(B59,'SUMBER REKAP APAR'!F:O,9,FALSE)
    ),
    VLOOKUP(B59,'REKAP APAR FT MAOS'!B:J,10,FALSE)
)</f>
        <v>#N/A</v>
      </c>
      <c r="L59" s="29" t="e">
        <f ca="1">IFERROR(
    IF(VLOOKUP(B59,'SUMBER REKAP APAR'!F:O,10,FALSE)="",
        VLOOKUP(B59,'REKAP APAR FT MAOS'!B:J,11,FALSE),
        VLOOKUP(B59,'SUMBER REKAP APAR'!F:O,10,FALSE)
    ),
    VLOOKUP(B59,'REKAP APAR FT MAOS'!B:J,11,FALSE)
)</f>
        <v>#N/A</v>
      </c>
      <c r="M59" s="29" t="e">
        <f ca="1">IFERROR(
    IF(VLOOKUP(B59,'SUMBER REKAP APAR'!F:Q,11,FALSE)="",
        VLOOKUP(B59,'REKAP APAR FT MAOS'!B:J,12,FALSE),
        VLOOKUP(B59,'SUMBER REKAP APAR'!F:Q,11,FALSE)
    ),
    VLOOKUP(B59,'REKAP APAR FT MAOS'!B:J,12,FALSE)
)</f>
        <v>#N/A</v>
      </c>
      <c r="N59" s="32" t="e">
        <f t="shared" ref="N59:R59" ca="1" si="111">IF(OR($AA$1="",D59=""),"",D59-$AA$1)</f>
        <v>#N/A</v>
      </c>
      <c r="O59" s="32" t="e">
        <f t="shared" ca="1" si="111"/>
        <v>#N/A</v>
      </c>
      <c r="P59" s="32" t="e">
        <f t="shared" ca="1" si="111"/>
        <v>#N/A</v>
      </c>
      <c r="Q59" s="32" t="e">
        <f t="shared" ca="1" si="111"/>
        <v>#N/A</v>
      </c>
      <c r="R59" s="32" t="e">
        <f t="shared" ca="1" si="111"/>
        <v>#N/A</v>
      </c>
      <c r="S59" s="195"/>
      <c r="T59" s="33">
        <f t="shared" ref="T59:X59" ca="1" si="112">COUNTIF(N59, "&lt;30")</f>
        <v>0</v>
      </c>
      <c r="U59" s="33">
        <f t="shared" ca="1" si="112"/>
        <v>0</v>
      </c>
      <c r="V59" s="33">
        <f t="shared" ca="1" si="112"/>
        <v>0</v>
      </c>
      <c r="W59" s="33">
        <f t="shared" ca="1" si="112"/>
        <v>0</v>
      </c>
      <c r="X59" s="33">
        <f t="shared" ca="1" si="112"/>
        <v>0</v>
      </c>
      <c r="Y59" s="34">
        <f t="shared" ca="1" si="2"/>
        <v>0</v>
      </c>
    </row>
    <row r="60" spans="1:25" ht="17.399999999999999">
      <c r="A60" s="3">
        <v>57</v>
      </c>
      <c r="B60" s="3" t="s">
        <v>191</v>
      </c>
      <c r="C60" s="22" t="s">
        <v>108</v>
      </c>
      <c r="D60" s="29" t="e">
        <f ca="1">IFERROR(
    IF(VLOOKUP(B60,'SUMBER REKAP APAR'!F:O,2,FALSE)="",
        VLOOKUP(B60,'REKAP APAR FT MAOS'!B:J,3,FALSE),
        VLOOKUP(B60,'SUMBER REKAP APAR'!F:O,2,FALSE)
    ),
    VLOOKUP(B60,'REKAP APAR FT MAOS'!B:J,3,FALSE)
)</f>
        <v>#N/A</v>
      </c>
      <c r="E60" s="29" t="e">
        <f ca="1">IFERROR(
    IF(VLOOKUP(B60,'SUMBER REKAP APAR'!F:O,3,FALSE)="",
        VLOOKUP(B60,'REKAP APAR FT MAOS'!B:J,4,FALSE),
        VLOOKUP(B60,'SUMBER REKAP APAR'!F:O,3,FALSE)
    ),
    VLOOKUP(B60,'REKAP APAR FT MAOS'!B:J,4,FALSE)
)</f>
        <v>#N/A</v>
      </c>
      <c r="F60" s="29" t="e">
        <f ca="1">IFERROR(
    IF(VLOOKUP(B60,'SUMBER REKAP APAR'!F:O,4,FALSE)="",
        VLOOKUP(B60,'REKAP APAR FT MAOS'!B:J,5,FALSE),
        VLOOKUP(B60,'SUMBER REKAP APAR'!F:O,4,FALSE)
    ),
    VLOOKUP(B60,'REKAP APAR FT MAOS'!B:J,5,FALSE)
)</f>
        <v>#N/A</v>
      </c>
      <c r="G60" s="29" t="e">
        <f ca="1">IFERROR(
    IF(VLOOKUP(B60,'SUMBER REKAP APAR'!F:O,5,FALSE)="",
        VLOOKUP(B60,'REKAP APAR FT MAOS'!B:J,6,FALSE),
        VLOOKUP(B60,'SUMBER REKAP APAR'!F:O,5,FALSE)
    ),
    VLOOKUP(B60,'REKAP APAR FT MAOS'!B:J,6,FALSE)
)</f>
        <v>#N/A</v>
      </c>
      <c r="H60" s="29" t="e">
        <f ca="1">IFERROR(
    IF(VLOOKUP(B60,'SUMBER REKAP APAR'!F:O,6,FALSE)="",
        VLOOKUP(B60,'REKAP APAR FT MAOS'!B:J,7,FALSE),
        VLOOKUP(B60,'SUMBER REKAP APAR'!F:O,6,FALSE)
    ),
    VLOOKUP(B60,'REKAP APAR FT MAOS'!B:J,7,FALSE)
)</f>
        <v>#N/A</v>
      </c>
      <c r="I60" s="29" t="e">
        <f ca="1">IFERROR(
    IF(VLOOKUP(B60,'SUMBER REKAP APAR'!F:O,7,FALSE)="",
        VLOOKUP(B60,'REKAP APAR FT MAOS'!B:J,8,FALSE),
        VLOOKUP(B60,'SUMBER REKAP APAR'!F:O,7,FALSE)
    ),
    VLOOKUP(B60,'REKAP APAR FT MAOS'!B:J,8,FALSE)
)</f>
        <v>#N/A</v>
      </c>
      <c r="J60" s="29" t="e">
        <f ca="1">IFERROR(
    IF(VLOOKUP(B60,'SUMBER REKAP APAR'!F:O,8,FALSE)="",
        VLOOKUP(B60,'REKAP APAR FT MAOS'!B:J,9,FALSE),
        VLOOKUP(B60,'SUMBER REKAP APAR'!F:O,8,FALSE)
    ),
    VLOOKUP(B60,'REKAP APAR FT MAOS'!B:J,9,FALSE)
)</f>
        <v>#N/A</v>
      </c>
      <c r="K60" s="29" t="e">
        <f ca="1">IFERROR(
    IF(VLOOKUP(B60,'SUMBER REKAP APAR'!F:O,9,FALSE)="",
        VLOOKUP(B60,'REKAP APAR FT MAOS'!B:J,10,FALSE),
        VLOOKUP(B60,'SUMBER REKAP APAR'!F:O,9,FALSE)
    ),
    VLOOKUP(B60,'REKAP APAR FT MAOS'!B:J,10,FALSE)
)</f>
        <v>#N/A</v>
      </c>
      <c r="L60" s="29" t="e">
        <f ca="1">IFERROR(
    IF(VLOOKUP(B60,'SUMBER REKAP APAR'!F:O,10,FALSE)="",
        VLOOKUP(B60,'REKAP APAR FT MAOS'!B:J,11,FALSE),
        VLOOKUP(B60,'SUMBER REKAP APAR'!F:O,10,FALSE)
    ),
    VLOOKUP(B60,'REKAP APAR FT MAOS'!B:J,11,FALSE)
)</f>
        <v>#N/A</v>
      </c>
      <c r="M60" s="29" t="e">
        <f ca="1">IFERROR(
    IF(VLOOKUP(B60,'SUMBER REKAP APAR'!F:Q,11,FALSE)="",
        VLOOKUP(B60,'REKAP APAR FT MAOS'!B:J,12,FALSE),
        VLOOKUP(B60,'SUMBER REKAP APAR'!F:Q,11,FALSE)
    ),
    VLOOKUP(B60,'REKAP APAR FT MAOS'!B:J,12,FALSE)
)</f>
        <v>#N/A</v>
      </c>
      <c r="N60" s="32" t="e">
        <f t="shared" ref="N60:R60" ca="1" si="113">IF(OR($AA$1="",D60=""),"",D60-$AA$1)</f>
        <v>#N/A</v>
      </c>
      <c r="O60" s="32" t="e">
        <f t="shared" ca="1" si="113"/>
        <v>#N/A</v>
      </c>
      <c r="P60" s="32" t="e">
        <f t="shared" ca="1" si="113"/>
        <v>#N/A</v>
      </c>
      <c r="Q60" s="32" t="e">
        <f t="shared" ca="1" si="113"/>
        <v>#N/A</v>
      </c>
      <c r="R60" s="32" t="e">
        <f t="shared" ca="1" si="113"/>
        <v>#N/A</v>
      </c>
      <c r="S60" s="195"/>
      <c r="T60" s="33">
        <f t="shared" ref="T60:X60" ca="1" si="114">COUNTIF(N60, "&lt;30")</f>
        <v>0</v>
      </c>
      <c r="U60" s="33">
        <f t="shared" ca="1" si="114"/>
        <v>0</v>
      </c>
      <c r="V60" s="33">
        <f t="shared" ca="1" si="114"/>
        <v>0</v>
      </c>
      <c r="W60" s="33">
        <f t="shared" ca="1" si="114"/>
        <v>0</v>
      </c>
      <c r="X60" s="33">
        <f t="shared" ca="1" si="114"/>
        <v>0</v>
      </c>
      <c r="Y60" s="34">
        <f t="shared" ca="1" si="2"/>
        <v>0</v>
      </c>
    </row>
    <row r="61" spans="1:25" ht="17.399999999999999">
      <c r="A61" s="3">
        <v>58</v>
      </c>
      <c r="B61" s="3" t="s">
        <v>110</v>
      </c>
      <c r="C61" s="22" t="s">
        <v>108</v>
      </c>
      <c r="D61" s="29">
        <f ca="1">IFERROR(
    IF(VLOOKUP(B61,'SUMBER REKAP APAR'!F:O,2,FALSE)="",
        VLOOKUP(B61,'REKAP APAR FT MAOS'!B:J,3,FALSE),
        VLOOKUP(B61,'SUMBER REKAP APAR'!F:O,2,FALSE)
    ),
    VLOOKUP(B61,'REKAP APAR FT MAOS'!B:J,3,FALSE)
)</f>
        <v>46446</v>
      </c>
      <c r="E61" s="29">
        <f ca="1">IFERROR(
    IF(VLOOKUP(B61,'SUMBER REKAP APAR'!F:O,3,FALSE)="",
        VLOOKUP(B61,'REKAP APAR FT MAOS'!B:J,4,FALSE),
        VLOOKUP(B61,'SUMBER REKAP APAR'!F:O,3,FALSE)
    ),
    VLOOKUP(B61,'REKAP APAR FT MAOS'!B:J,4,FALSE)
)</f>
        <v>46446</v>
      </c>
      <c r="F61" s="29">
        <f ca="1">IFERROR(
    IF(VLOOKUP(B61,'SUMBER REKAP APAR'!F:O,4,FALSE)="",
        VLOOKUP(B61,'REKAP APAR FT MAOS'!B:J,5,FALSE),
        VLOOKUP(B61,'SUMBER REKAP APAR'!F:O,4,FALSE)
    ),
    VLOOKUP(B61,'REKAP APAR FT MAOS'!B:J,5,FALSE)
)</f>
        <v>0</v>
      </c>
      <c r="G61" s="29">
        <f ca="1">IFERROR(
    IF(VLOOKUP(B61,'SUMBER REKAP APAR'!F:O,5,FALSE)="",
        VLOOKUP(B61,'REKAP APAR FT MAOS'!B:J,6,FALSE),
        VLOOKUP(B61,'SUMBER REKAP APAR'!F:O,5,FALSE)
    ),
    VLOOKUP(B61,'REKAP APAR FT MAOS'!B:J,6,FALSE)
)</f>
        <v>0</v>
      </c>
      <c r="H61" s="29">
        <f ca="1">IFERROR(
    IF(VLOOKUP(B61,'SUMBER REKAP APAR'!F:O,6,FALSE)="",
        VLOOKUP(B61,'REKAP APAR FT MAOS'!B:J,7,FALSE),
        VLOOKUP(B61,'SUMBER REKAP APAR'!F:O,6,FALSE)
    ),
    VLOOKUP(B61,'REKAP APAR FT MAOS'!B:J,7,FALSE)
)</f>
        <v>46418</v>
      </c>
      <c r="I61" s="29">
        <f ca="1">IFERROR(
    IF(VLOOKUP(B61,'SUMBER REKAP APAR'!F:O,7,FALSE)="",
        VLOOKUP(B61,'REKAP APAR FT MAOS'!B:J,8,FALSE),
        VLOOKUP(B61,'SUMBER REKAP APAR'!F:O,7,FALSE)
    ),
    VLOOKUP(B61,'REKAP APAR FT MAOS'!B:J,8,FALSE)
)</f>
        <v>0</v>
      </c>
      <c r="J61" s="29">
        <f ca="1">IFERROR(
    IF(VLOOKUP(B61,'SUMBER REKAP APAR'!F:O,8,FALSE)="",
        VLOOKUP(B61,'REKAP APAR FT MAOS'!B:J,9,FALSE),
        VLOOKUP(B61,'SUMBER REKAP APAR'!F:O,8,FALSE)
    ),
    VLOOKUP(B61,'REKAP APAR FT MAOS'!B:J,9,FALSE)
)</f>
        <v>46418</v>
      </c>
      <c r="K61" s="29" t="e">
        <f ca="1">IFERROR(
    IF(VLOOKUP(B61,'SUMBER REKAP APAR'!F:O,9,FALSE)="",
        VLOOKUP(B61,'REKAP APAR FT MAOS'!B:J,10,FALSE),
        VLOOKUP(B61,'SUMBER REKAP APAR'!F:O,9,FALSE)
    ),
    VLOOKUP(B61,'REKAP APAR FT MAOS'!B:J,10,FALSE)
)</f>
        <v>#REF!</v>
      </c>
      <c r="L61" s="29" t="e">
        <f ca="1">IFERROR(
    IF(VLOOKUP(B61,'SUMBER REKAP APAR'!F:O,10,FALSE)="",
        VLOOKUP(B61,'REKAP APAR FT MAOS'!B:J,11,FALSE),
        VLOOKUP(B61,'SUMBER REKAP APAR'!F:O,10,FALSE)
    ),
    VLOOKUP(B61,'REKAP APAR FT MAOS'!B:J,11,FALSE)
)</f>
        <v>#REF!</v>
      </c>
      <c r="M61" s="29" t="e">
        <f ca="1">IFERROR(
    IF(VLOOKUP(B61,'SUMBER REKAP APAR'!F:Q,11,FALSE)="",
        VLOOKUP(B61,'REKAP APAR FT MAOS'!B:J,12,FALSE),
        VLOOKUP(B61,'SUMBER REKAP APAR'!F:Q,11,FALSE)
    ),
    VLOOKUP(B61,'REKAP APAR FT MAOS'!B:J,12,FALSE)
)</f>
        <v>#REF!</v>
      </c>
      <c r="N61" s="32">
        <f t="shared" ref="N61:R61" ca="1" si="115">IF(OR($AA$1="",D61=""),"",D61-$AA$1)</f>
        <v>149</v>
      </c>
      <c r="O61" s="32">
        <f t="shared" ca="1" si="115"/>
        <v>149</v>
      </c>
      <c r="P61" s="32">
        <f t="shared" ca="1" si="115"/>
        <v>-46297</v>
      </c>
      <c r="Q61" s="32">
        <f t="shared" ca="1" si="115"/>
        <v>-46297</v>
      </c>
      <c r="R61" s="32">
        <f t="shared" ca="1" si="115"/>
        <v>121</v>
      </c>
      <c r="S61" s="195"/>
      <c r="T61" s="33">
        <f t="shared" ref="T61:X61" ca="1" si="116">COUNTIF(N61, "&lt;30")</f>
        <v>0</v>
      </c>
      <c r="U61" s="33">
        <f t="shared" ca="1" si="116"/>
        <v>0</v>
      </c>
      <c r="V61" s="33">
        <f t="shared" ca="1" si="116"/>
        <v>1</v>
      </c>
      <c r="W61" s="33">
        <f t="shared" ca="1" si="116"/>
        <v>1</v>
      </c>
      <c r="X61" s="33">
        <f t="shared" ca="1" si="116"/>
        <v>0</v>
      </c>
      <c r="Y61" s="34">
        <f t="shared" ca="1" si="2"/>
        <v>2</v>
      </c>
    </row>
    <row r="62" spans="1:25" ht="17.399999999999999">
      <c r="A62" s="3">
        <v>59</v>
      </c>
      <c r="B62" s="3" t="s">
        <v>118</v>
      </c>
      <c r="C62" s="22" t="s">
        <v>119</v>
      </c>
      <c r="D62" s="29">
        <f ca="1">IFERROR(
    IF(VLOOKUP(B62,'SUMBER REKAP APAR'!F:O,2,FALSE)="",
        VLOOKUP(B62,'REKAP APAR FT MAOS'!B:J,3,FALSE),
        VLOOKUP(B62,'SUMBER REKAP APAR'!F:O,2,FALSE)
    ),
    VLOOKUP(B62,'REKAP APAR FT MAOS'!B:J,3,FALSE)
)</f>
        <v>46283</v>
      </c>
      <c r="E62" s="29">
        <f ca="1">IFERROR(
    IF(VLOOKUP(B62,'SUMBER REKAP APAR'!F:O,3,FALSE)="",
        VLOOKUP(B62,'REKAP APAR FT MAOS'!B:J,4,FALSE),
        VLOOKUP(B62,'SUMBER REKAP APAR'!F:O,3,FALSE)
    ),
    VLOOKUP(B62,'REKAP APAR FT MAOS'!B:J,4,FALSE)
)</f>
        <v>46283</v>
      </c>
      <c r="F62" s="29">
        <f ca="1">IFERROR(
    IF(VLOOKUP(B62,'SUMBER REKAP APAR'!F:O,4,FALSE)="",
        VLOOKUP(B62,'REKAP APAR FT MAOS'!B:J,5,FALSE),
        VLOOKUP(B62,'SUMBER REKAP APAR'!F:O,4,FALSE)
    ),
    VLOOKUP(B62,'REKAP APAR FT MAOS'!B:J,5,FALSE)
)</f>
        <v>46418</v>
      </c>
      <c r="G62" s="29">
        <f ca="1">IFERROR(
    IF(VLOOKUP(B62,'SUMBER REKAP APAR'!F:O,5,FALSE)="",
        VLOOKUP(B62,'REKAP APAR FT MAOS'!B:J,6,FALSE),
        VLOOKUP(B62,'SUMBER REKAP APAR'!F:O,5,FALSE)
    ),
    VLOOKUP(B62,'REKAP APAR FT MAOS'!B:J,6,FALSE)
)</f>
        <v>0</v>
      </c>
      <c r="H62" s="29">
        <f ca="1">IFERROR(
    IF(VLOOKUP(B62,'SUMBER REKAP APAR'!F:O,6,FALSE)="",
        VLOOKUP(B62,'REKAP APAR FT MAOS'!B:J,7,FALSE),
        VLOOKUP(B62,'SUMBER REKAP APAR'!F:O,6,FALSE)
    ),
    VLOOKUP(B62,'REKAP APAR FT MAOS'!B:J,7,FALSE)
)</f>
        <v>0</v>
      </c>
      <c r="I62" s="29">
        <f ca="1">IFERROR(
    IF(VLOOKUP(B62,'SUMBER REKAP APAR'!F:O,7,FALSE)="",
        VLOOKUP(B62,'REKAP APAR FT MAOS'!B:J,8,FALSE),
        VLOOKUP(B62,'SUMBER REKAP APAR'!F:O,7,FALSE)
    ),
    VLOOKUP(B62,'REKAP APAR FT MAOS'!B:J,8,FALSE)
)</f>
        <v>0</v>
      </c>
      <c r="J62" s="29">
        <f ca="1">IFERROR(
    IF(VLOOKUP(B62,'SUMBER REKAP APAR'!F:O,8,FALSE)="",
        VLOOKUP(B62,'REKAP APAR FT MAOS'!B:J,9,FALSE),
        VLOOKUP(B62,'SUMBER REKAP APAR'!F:O,8,FALSE)
    ),
    VLOOKUP(B62,'REKAP APAR FT MAOS'!B:J,9,FALSE)
)</f>
        <v>46283</v>
      </c>
      <c r="K62" s="29" t="e">
        <f ca="1">IFERROR(
    IF(VLOOKUP(B62,'SUMBER REKAP APAR'!F:O,9,FALSE)="",
        VLOOKUP(B62,'REKAP APAR FT MAOS'!B:J,10,FALSE),
        VLOOKUP(B62,'SUMBER REKAP APAR'!F:O,9,FALSE)
    ),
    VLOOKUP(B62,'REKAP APAR FT MAOS'!B:J,10,FALSE)
)</f>
        <v>#REF!</v>
      </c>
      <c r="L62" s="29" t="e">
        <f ca="1">IFERROR(
    IF(VLOOKUP(B62,'SUMBER REKAP APAR'!F:O,10,FALSE)="",
        VLOOKUP(B62,'REKAP APAR FT MAOS'!B:J,11,FALSE),
        VLOOKUP(B62,'SUMBER REKAP APAR'!F:O,10,FALSE)
    ),
    VLOOKUP(B62,'REKAP APAR FT MAOS'!B:J,11,FALSE)
)</f>
        <v>#REF!</v>
      </c>
      <c r="M62" s="29" t="e">
        <f ca="1">IFERROR(
    IF(VLOOKUP(B62,'SUMBER REKAP APAR'!F:Q,11,FALSE)="",
        VLOOKUP(B62,'REKAP APAR FT MAOS'!B:J,12,FALSE),
        VLOOKUP(B62,'SUMBER REKAP APAR'!F:Q,11,FALSE)
    ),
    VLOOKUP(B62,'REKAP APAR FT MAOS'!B:J,12,FALSE)
)</f>
        <v>#REF!</v>
      </c>
      <c r="N62" s="32">
        <f t="shared" ref="N62:R62" ca="1" si="117">IF(OR($AA$1="",D62=""),"",D62-$AA$1)</f>
        <v>-14</v>
      </c>
      <c r="O62" s="32">
        <f t="shared" ca="1" si="117"/>
        <v>-14</v>
      </c>
      <c r="P62" s="32">
        <f t="shared" ca="1" si="117"/>
        <v>121</v>
      </c>
      <c r="Q62" s="32">
        <f t="shared" ca="1" si="117"/>
        <v>-46297</v>
      </c>
      <c r="R62" s="32">
        <f t="shared" ca="1" si="117"/>
        <v>-46297</v>
      </c>
      <c r="S62" s="195"/>
      <c r="T62" s="33">
        <f t="shared" ref="T62:X62" ca="1" si="118">COUNTIF(N62, "&lt;30")</f>
        <v>1</v>
      </c>
      <c r="U62" s="33">
        <f t="shared" ca="1" si="118"/>
        <v>1</v>
      </c>
      <c r="V62" s="33">
        <f t="shared" ca="1" si="118"/>
        <v>0</v>
      </c>
      <c r="W62" s="33">
        <f t="shared" ca="1" si="118"/>
        <v>1</v>
      </c>
      <c r="X62" s="33">
        <f t="shared" ca="1" si="118"/>
        <v>1</v>
      </c>
      <c r="Y62" s="34">
        <f t="shared" ca="1" si="2"/>
        <v>4</v>
      </c>
    </row>
    <row r="63" spans="1:25" ht="17.399999999999999">
      <c r="A63" s="3">
        <v>60</v>
      </c>
      <c r="B63" s="3" t="s">
        <v>120</v>
      </c>
      <c r="C63" s="22" t="s">
        <v>119</v>
      </c>
      <c r="D63" s="29">
        <f ca="1">IFERROR(
    IF(VLOOKUP(B63,'SUMBER REKAP APAR'!F:O,2,FALSE)="",
        VLOOKUP(B63,'REKAP APAR FT MAOS'!B:J,3,FALSE),
        VLOOKUP(B63,'SUMBER REKAP APAR'!F:O,2,FALSE)
    ),
    VLOOKUP(B63,'REKAP APAR FT MAOS'!B:J,3,FALSE)
)</f>
        <v>46446</v>
      </c>
      <c r="E63" s="29">
        <f ca="1">IFERROR(
    IF(VLOOKUP(B63,'SUMBER REKAP APAR'!F:O,3,FALSE)="",
        VLOOKUP(B63,'REKAP APAR FT MAOS'!B:J,4,FALSE),
        VLOOKUP(B63,'SUMBER REKAP APAR'!F:O,3,FALSE)
    ),
    VLOOKUP(B63,'REKAP APAR FT MAOS'!B:J,4,FALSE)
)</f>
        <v>46446</v>
      </c>
      <c r="F63" s="29">
        <f ca="1">IFERROR(
    IF(VLOOKUP(B63,'SUMBER REKAP APAR'!F:O,4,FALSE)="",
        VLOOKUP(B63,'REKAP APAR FT MAOS'!B:J,5,FALSE),
        VLOOKUP(B63,'SUMBER REKAP APAR'!F:O,4,FALSE)
    ),
    VLOOKUP(B63,'REKAP APAR FT MAOS'!B:J,5,FALSE)
)</f>
        <v>46418</v>
      </c>
      <c r="G63" s="29">
        <f ca="1">IFERROR(
    IF(VLOOKUP(B63,'SUMBER REKAP APAR'!F:O,5,FALSE)="",
        VLOOKUP(B63,'REKAP APAR FT MAOS'!B:J,6,FALSE),
        VLOOKUP(B63,'SUMBER REKAP APAR'!F:O,5,FALSE)
    ),
    VLOOKUP(B63,'REKAP APAR FT MAOS'!B:J,6,FALSE)
)</f>
        <v>0</v>
      </c>
      <c r="H63" s="29">
        <f ca="1">IFERROR(
    IF(VLOOKUP(B63,'SUMBER REKAP APAR'!F:O,6,FALSE)="",
        VLOOKUP(B63,'REKAP APAR FT MAOS'!B:J,7,FALSE),
        VLOOKUP(B63,'SUMBER REKAP APAR'!F:O,6,FALSE)
    ),
    VLOOKUP(B63,'REKAP APAR FT MAOS'!B:J,7,FALSE)
)</f>
        <v>0</v>
      </c>
      <c r="I63" s="29">
        <f ca="1">IFERROR(
    IF(VLOOKUP(B63,'SUMBER REKAP APAR'!F:O,7,FALSE)="",
        VLOOKUP(B63,'REKAP APAR FT MAOS'!B:J,8,FALSE),
        VLOOKUP(B63,'SUMBER REKAP APAR'!F:O,7,FALSE)
    ),
    VLOOKUP(B63,'REKAP APAR FT MAOS'!B:J,8,FALSE)
)</f>
        <v>0</v>
      </c>
      <c r="J63" s="29">
        <f ca="1">IFERROR(
    IF(VLOOKUP(B63,'SUMBER REKAP APAR'!F:O,8,FALSE)="",
        VLOOKUP(B63,'REKAP APAR FT MAOS'!B:J,9,FALSE),
        VLOOKUP(B63,'SUMBER REKAP APAR'!F:O,8,FALSE)
    ),
    VLOOKUP(B63,'REKAP APAR FT MAOS'!B:J,9,FALSE)
)</f>
        <v>46418</v>
      </c>
      <c r="K63" s="29" t="e">
        <f ca="1">IFERROR(
    IF(VLOOKUP(B63,'SUMBER REKAP APAR'!F:O,9,FALSE)="",
        VLOOKUP(B63,'REKAP APAR FT MAOS'!B:J,10,FALSE),
        VLOOKUP(B63,'SUMBER REKAP APAR'!F:O,9,FALSE)
    ),
    VLOOKUP(B63,'REKAP APAR FT MAOS'!B:J,10,FALSE)
)</f>
        <v>#REF!</v>
      </c>
      <c r="L63" s="29" t="e">
        <f ca="1">IFERROR(
    IF(VLOOKUP(B63,'SUMBER REKAP APAR'!F:O,10,FALSE)="",
        VLOOKUP(B63,'REKAP APAR FT MAOS'!B:J,11,FALSE),
        VLOOKUP(B63,'SUMBER REKAP APAR'!F:O,10,FALSE)
    ),
    VLOOKUP(B63,'REKAP APAR FT MAOS'!B:J,11,FALSE)
)</f>
        <v>#REF!</v>
      </c>
      <c r="M63" s="29" t="e">
        <f ca="1">IFERROR(
    IF(VLOOKUP(B63,'SUMBER REKAP APAR'!F:Q,11,FALSE)="",
        VLOOKUP(B63,'REKAP APAR FT MAOS'!B:J,12,FALSE),
        VLOOKUP(B63,'SUMBER REKAP APAR'!F:Q,11,FALSE)
    ),
    VLOOKUP(B63,'REKAP APAR FT MAOS'!B:J,12,FALSE)
)</f>
        <v>#REF!</v>
      </c>
      <c r="N63" s="32">
        <f t="shared" ref="N63:R63" ca="1" si="119">IF(OR($AA$1="",D63=""),"",D63-$AA$1)</f>
        <v>149</v>
      </c>
      <c r="O63" s="32">
        <f t="shared" ca="1" si="119"/>
        <v>149</v>
      </c>
      <c r="P63" s="32">
        <f t="shared" ca="1" si="119"/>
        <v>121</v>
      </c>
      <c r="Q63" s="32">
        <f t="shared" ca="1" si="119"/>
        <v>-46297</v>
      </c>
      <c r="R63" s="32">
        <f t="shared" ca="1" si="119"/>
        <v>-46297</v>
      </c>
      <c r="S63" s="195"/>
      <c r="T63" s="33">
        <f t="shared" ref="T63:X63" ca="1" si="120">COUNTIF(N63, "&lt;30")</f>
        <v>0</v>
      </c>
      <c r="U63" s="33">
        <f t="shared" ca="1" si="120"/>
        <v>0</v>
      </c>
      <c r="V63" s="33">
        <f t="shared" ca="1" si="120"/>
        <v>0</v>
      </c>
      <c r="W63" s="33">
        <f t="shared" ca="1" si="120"/>
        <v>1</v>
      </c>
      <c r="X63" s="33">
        <f t="shared" ca="1" si="120"/>
        <v>1</v>
      </c>
      <c r="Y63" s="34">
        <f t="shared" ca="1" si="2"/>
        <v>2</v>
      </c>
    </row>
    <row r="64" spans="1:25" ht="17.399999999999999">
      <c r="A64" s="3">
        <v>61</v>
      </c>
      <c r="B64" s="3" t="s">
        <v>121</v>
      </c>
      <c r="C64" s="22" t="s">
        <v>119</v>
      </c>
      <c r="D64" s="29">
        <f ca="1">IFERROR(
    IF(VLOOKUP(B64,'SUMBER REKAP APAR'!F:O,2,FALSE)="",
        VLOOKUP(B64,'REKAP APAR FT MAOS'!B:J,3,FALSE),
        VLOOKUP(B64,'SUMBER REKAP APAR'!F:O,2,FALSE)
    ),
    VLOOKUP(B64,'REKAP APAR FT MAOS'!B:J,3,FALSE)
)</f>
        <v>46292</v>
      </c>
      <c r="E64" s="29">
        <f ca="1">IFERROR(
    IF(VLOOKUP(B64,'SUMBER REKAP APAR'!F:O,3,FALSE)="",
        VLOOKUP(B64,'REKAP APAR FT MAOS'!B:J,4,FALSE),
        VLOOKUP(B64,'SUMBER REKAP APAR'!F:O,3,FALSE)
    ),
    VLOOKUP(B64,'REKAP APAR FT MAOS'!B:J,4,FALSE)
)</f>
        <v>46292</v>
      </c>
      <c r="F64" s="29">
        <f ca="1">IFERROR(
    IF(VLOOKUP(B64,'SUMBER REKAP APAR'!F:O,4,FALSE)="",
        VLOOKUP(B64,'REKAP APAR FT MAOS'!B:J,5,FALSE),
        VLOOKUP(B64,'SUMBER REKAP APAR'!F:O,4,FALSE)
    ),
    VLOOKUP(B64,'REKAP APAR FT MAOS'!B:J,5,FALSE)
)</f>
        <v>46325</v>
      </c>
      <c r="G64" s="29">
        <f ca="1">IFERROR(
    IF(VLOOKUP(B64,'SUMBER REKAP APAR'!F:O,5,FALSE)="",
        VLOOKUP(B64,'REKAP APAR FT MAOS'!B:J,6,FALSE),
        VLOOKUP(B64,'SUMBER REKAP APAR'!F:O,5,FALSE)
    ),
    VLOOKUP(B64,'REKAP APAR FT MAOS'!B:J,6,FALSE)
)</f>
        <v>0</v>
      </c>
      <c r="H64" s="29">
        <f ca="1">IFERROR(
    IF(VLOOKUP(B64,'SUMBER REKAP APAR'!F:O,6,FALSE)="",
        VLOOKUP(B64,'REKAP APAR FT MAOS'!B:J,7,FALSE),
        VLOOKUP(B64,'SUMBER REKAP APAR'!F:O,6,FALSE)
    ),
    VLOOKUP(B64,'REKAP APAR FT MAOS'!B:J,7,FALSE)
)</f>
        <v>0</v>
      </c>
      <c r="I64" s="29">
        <f ca="1">IFERROR(
    IF(VLOOKUP(B64,'SUMBER REKAP APAR'!F:O,7,FALSE)="",
        VLOOKUP(B64,'REKAP APAR FT MAOS'!B:J,8,FALSE),
        VLOOKUP(B64,'SUMBER REKAP APAR'!F:O,7,FALSE)
    ),
    VLOOKUP(B64,'REKAP APAR FT MAOS'!B:J,8,FALSE)
)</f>
        <v>0</v>
      </c>
      <c r="J64" s="29">
        <f ca="1">IFERROR(
    IF(VLOOKUP(B64,'SUMBER REKAP APAR'!F:O,8,FALSE)="",
        VLOOKUP(B64,'REKAP APAR FT MAOS'!B:J,9,FALSE),
        VLOOKUP(B64,'SUMBER REKAP APAR'!F:O,8,FALSE)
    ),
    VLOOKUP(B64,'REKAP APAR FT MAOS'!B:J,9,FALSE)
)</f>
        <v>46376</v>
      </c>
      <c r="K64" s="29" t="e">
        <f ca="1">IFERROR(
    IF(VLOOKUP(B64,'SUMBER REKAP APAR'!F:O,9,FALSE)="",
        VLOOKUP(B64,'REKAP APAR FT MAOS'!B:J,10,FALSE),
        VLOOKUP(B64,'SUMBER REKAP APAR'!F:O,9,FALSE)
    ),
    VLOOKUP(B64,'REKAP APAR FT MAOS'!B:J,10,FALSE)
)</f>
        <v>#REF!</v>
      </c>
      <c r="L64" s="29" t="e">
        <f ca="1">IFERROR(
    IF(VLOOKUP(B64,'SUMBER REKAP APAR'!F:O,10,FALSE)="",
        VLOOKUP(B64,'REKAP APAR FT MAOS'!B:J,11,FALSE),
        VLOOKUP(B64,'SUMBER REKAP APAR'!F:O,10,FALSE)
    ),
    VLOOKUP(B64,'REKAP APAR FT MAOS'!B:J,11,FALSE)
)</f>
        <v>#REF!</v>
      </c>
      <c r="M64" s="29" t="e">
        <f ca="1">IFERROR(
    IF(VLOOKUP(B64,'SUMBER REKAP APAR'!F:Q,11,FALSE)="",
        VLOOKUP(B64,'REKAP APAR FT MAOS'!B:J,12,FALSE),
        VLOOKUP(B64,'SUMBER REKAP APAR'!F:Q,11,FALSE)
    ),
    VLOOKUP(B64,'REKAP APAR FT MAOS'!B:J,12,FALSE)
)</f>
        <v>#REF!</v>
      </c>
      <c r="N64" s="32">
        <f t="shared" ref="N64:R64" ca="1" si="121">IF(OR($AA$1="",D64=""),"",D64-$AA$1)</f>
        <v>-5</v>
      </c>
      <c r="O64" s="32">
        <f t="shared" ca="1" si="121"/>
        <v>-5</v>
      </c>
      <c r="P64" s="32">
        <f t="shared" ca="1" si="121"/>
        <v>28</v>
      </c>
      <c r="Q64" s="32">
        <f t="shared" ca="1" si="121"/>
        <v>-46297</v>
      </c>
      <c r="R64" s="32">
        <f t="shared" ca="1" si="121"/>
        <v>-46297</v>
      </c>
      <c r="S64" s="195"/>
      <c r="T64" s="33">
        <f t="shared" ref="T64:X64" ca="1" si="122">COUNTIF(N64, "&lt;30")</f>
        <v>1</v>
      </c>
      <c r="U64" s="33">
        <f t="shared" ca="1" si="122"/>
        <v>1</v>
      </c>
      <c r="V64" s="33">
        <f t="shared" ca="1" si="122"/>
        <v>1</v>
      </c>
      <c r="W64" s="33">
        <f t="shared" ca="1" si="122"/>
        <v>1</v>
      </c>
      <c r="X64" s="33">
        <f t="shared" ca="1" si="122"/>
        <v>1</v>
      </c>
      <c r="Y64" s="34">
        <f t="shared" ca="1" si="2"/>
        <v>5</v>
      </c>
    </row>
    <row r="65" spans="1:25" ht="17.399999999999999">
      <c r="A65" s="3">
        <v>62</v>
      </c>
      <c r="B65" s="3" t="s">
        <v>122</v>
      </c>
      <c r="C65" s="22" t="s">
        <v>112</v>
      </c>
      <c r="D65" s="29">
        <f ca="1">IFERROR(
    IF(VLOOKUP(B65,'SUMBER REKAP APAR'!F:O,2,FALSE)="",
        VLOOKUP(B65,'REKAP APAR FT MAOS'!B:J,3,FALSE),
        VLOOKUP(B65,'SUMBER REKAP APAR'!F:O,2,FALSE)
    ),
    VLOOKUP(B65,'REKAP APAR FT MAOS'!B:J,3,FALSE)
)</f>
        <v>0</v>
      </c>
      <c r="E65" s="29">
        <f ca="1">IFERROR(
    IF(VLOOKUP(B65,'SUMBER REKAP APAR'!F:O,3,FALSE)="",
        VLOOKUP(B65,'REKAP APAR FT MAOS'!B:J,4,FALSE),
        VLOOKUP(B65,'SUMBER REKAP APAR'!F:O,3,FALSE)
    ),
    VLOOKUP(B65,'REKAP APAR FT MAOS'!B:J,4,FALSE)
)</f>
        <v>0</v>
      </c>
      <c r="F65" s="29">
        <f ca="1">IFERROR(
    IF(VLOOKUP(B65,'SUMBER REKAP APAR'!F:O,4,FALSE)="",
        VLOOKUP(B65,'REKAP APAR FT MAOS'!B:J,5,FALSE),
        VLOOKUP(B65,'SUMBER REKAP APAR'!F:O,4,FALSE)
    ),
    VLOOKUP(B65,'REKAP APAR FT MAOS'!B:J,5,FALSE)
)</f>
        <v>46418</v>
      </c>
      <c r="G65" s="29">
        <f ca="1">IFERROR(
    IF(VLOOKUP(B65,'SUMBER REKAP APAR'!F:O,5,FALSE)="",
        VLOOKUP(B65,'REKAP APAR FT MAOS'!B:J,6,FALSE),
        VLOOKUP(B65,'SUMBER REKAP APAR'!F:O,5,FALSE)
    ),
    VLOOKUP(B65,'REKAP APAR FT MAOS'!B:J,6,FALSE)
)</f>
        <v>46292</v>
      </c>
      <c r="H65" s="29">
        <f ca="1">IFERROR(
    IF(VLOOKUP(B65,'SUMBER REKAP APAR'!F:O,6,FALSE)="",
        VLOOKUP(B65,'REKAP APAR FT MAOS'!B:J,7,FALSE),
        VLOOKUP(B65,'SUMBER REKAP APAR'!F:O,6,FALSE)
    ),
    VLOOKUP(B65,'REKAP APAR FT MAOS'!B:J,7,FALSE)
)</f>
        <v>46292</v>
      </c>
      <c r="I65" s="29">
        <f ca="1">IFERROR(
    IF(VLOOKUP(B65,'SUMBER REKAP APAR'!F:O,7,FALSE)="",
        VLOOKUP(B65,'REKAP APAR FT MAOS'!B:J,8,FALSE),
        VLOOKUP(B65,'SUMBER REKAP APAR'!F:O,7,FALSE)
    ),
    VLOOKUP(B65,'REKAP APAR FT MAOS'!B:J,8,FALSE)
)</f>
        <v>46292</v>
      </c>
      <c r="J65" s="29">
        <f ca="1">IFERROR(
    IF(VLOOKUP(B65,'SUMBER REKAP APAR'!F:O,8,FALSE)="",
        VLOOKUP(B65,'REKAP APAR FT MAOS'!B:J,9,FALSE),
        VLOOKUP(B65,'SUMBER REKAP APAR'!F:O,8,FALSE)
    ),
    VLOOKUP(B65,'REKAP APAR FT MAOS'!B:J,9,FALSE)
)</f>
        <v>46292</v>
      </c>
      <c r="K65" s="29" t="e">
        <f ca="1">IFERROR(
    IF(VLOOKUP(B65,'SUMBER REKAP APAR'!F:O,9,FALSE)="",
        VLOOKUP(B65,'REKAP APAR FT MAOS'!B:J,10,FALSE),
        VLOOKUP(B65,'SUMBER REKAP APAR'!F:O,9,FALSE)
    ),
    VLOOKUP(B65,'REKAP APAR FT MAOS'!B:J,10,FALSE)
)</f>
        <v>#REF!</v>
      </c>
      <c r="L65" s="29" t="e">
        <f ca="1">IFERROR(
    IF(VLOOKUP(B65,'SUMBER REKAP APAR'!F:O,10,FALSE)="",
        VLOOKUP(B65,'REKAP APAR FT MAOS'!B:J,11,FALSE),
        VLOOKUP(B65,'SUMBER REKAP APAR'!F:O,10,FALSE)
    ),
    VLOOKUP(B65,'REKAP APAR FT MAOS'!B:J,11,FALSE)
)</f>
        <v>#REF!</v>
      </c>
      <c r="M65" s="29" t="e">
        <f ca="1">IFERROR(
    IF(VLOOKUP(B65,'SUMBER REKAP APAR'!F:Q,11,FALSE)="",
        VLOOKUP(B65,'REKAP APAR FT MAOS'!B:J,12,FALSE),
        VLOOKUP(B65,'SUMBER REKAP APAR'!F:Q,11,FALSE)
    ),
    VLOOKUP(B65,'REKAP APAR FT MAOS'!B:J,12,FALSE)
)</f>
        <v>#REF!</v>
      </c>
      <c r="N65" s="32">
        <f t="shared" ref="N65:R65" ca="1" si="123">IF(OR($AA$1="",D65=""),"",D65-$AA$1)</f>
        <v>-46297</v>
      </c>
      <c r="O65" s="32">
        <f t="shared" ca="1" si="123"/>
        <v>-46297</v>
      </c>
      <c r="P65" s="32">
        <f t="shared" ca="1" si="123"/>
        <v>121</v>
      </c>
      <c r="Q65" s="32">
        <f t="shared" ca="1" si="123"/>
        <v>-5</v>
      </c>
      <c r="R65" s="32">
        <f t="shared" ca="1" si="123"/>
        <v>-5</v>
      </c>
      <c r="S65" s="195"/>
      <c r="T65" s="33">
        <f t="shared" ref="T65:X65" ca="1" si="124">COUNTIF(N65, "&lt;30")</f>
        <v>1</v>
      </c>
      <c r="U65" s="33">
        <f t="shared" ca="1" si="124"/>
        <v>1</v>
      </c>
      <c r="V65" s="33">
        <f t="shared" ca="1" si="124"/>
        <v>0</v>
      </c>
      <c r="W65" s="33">
        <f t="shared" ca="1" si="124"/>
        <v>1</v>
      </c>
      <c r="X65" s="33">
        <f t="shared" ca="1" si="124"/>
        <v>1</v>
      </c>
      <c r="Y65" s="34">
        <f t="shared" ca="1" si="2"/>
        <v>4</v>
      </c>
    </row>
    <row r="66" spans="1:25" ht="17.399999999999999">
      <c r="A66" s="3">
        <v>63</v>
      </c>
      <c r="B66" s="3" t="s">
        <v>123</v>
      </c>
      <c r="C66" s="22" t="s">
        <v>119</v>
      </c>
      <c r="D66" s="29">
        <f ca="1">IFERROR(
    IF(VLOOKUP(B66,'SUMBER REKAP APAR'!F:O,2,FALSE)="",
        VLOOKUP(B66,'REKAP APAR FT MAOS'!B:J,3,FALSE),
        VLOOKUP(B66,'SUMBER REKAP APAR'!F:O,2,FALSE)
    ),
    VLOOKUP(B66,'REKAP APAR FT MAOS'!B:J,3,FALSE)
)</f>
        <v>46325</v>
      </c>
      <c r="E66" s="29">
        <f ca="1">IFERROR(
    IF(VLOOKUP(B66,'SUMBER REKAP APAR'!F:O,3,FALSE)="",
        VLOOKUP(B66,'REKAP APAR FT MAOS'!B:J,4,FALSE),
        VLOOKUP(B66,'SUMBER REKAP APAR'!F:O,3,FALSE)
    ),
    VLOOKUP(B66,'REKAP APAR FT MAOS'!B:J,4,FALSE)
)</f>
        <v>46325</v>
      </c>
      <c r="F66" s="29">
        <f ca="1">IFERROR(
    IF(VLOOKUP(B66,'SUMBER REKAP APAR'!F:O,4,FALSE)="",
        VLOOKUP(B66,'REKAP APAR FT MAOS'!B:J,5,FALSE),
        VLOOKUP(B66,'SUMBER REKAP APAR'!F:O,4,FALSE)
    ),
    VLOOKUP(B66,'REKAP APAR FT MAOS'!B:J,5,FALSE)
)</f>
        <v>46254</v>
      </c>
      <c r="G66" s="29">
        <f ca="1">IFERROR(
    IF(VLOOKUP(B66,'SUMBER REKAP APAR'!F:O,5,FALSE)="",
        VLOOKUP(B66,'REKAP APAR FT MAOS'!B:J,6,FALSE),
        VLOOKUP(B66,'SUMBER REKAP APAR'!F:O,5,FALSE)
    ),
    VLOOKUP(B66,'REKAP APAR FT MAOS'!B:J,6,FALSE)
)</f>
        <v>0</v>
      </c>
      <c r="H66" s="29">
        <f ca="1">IFERROR(
    IF(VLOOKUP(B66,'SUMBER REKAP APAR'!F:O,6,FALSE)="",
        VLOOKUP(B66,'REKAP APAR FT MAOS'!B:J,7,FALSE),
        VLOOKUP(B66,'SUMBER REKAP APAR'!F:O,6,FALSE)
    ),
    VLOOKUP(B66,'REKAP APAR FT MAOS'!B:J,7,FALSE)
)</f>
        <v>0</v>
      </c>
      <c r="I66" s="29">
        <f ca="1">IFERROR(
    IF(VLOOKUP(B66,'SUMBER REKAP APAR'!F:O,7,FALSE)="",
        VLOOKUP(B66,'REKAP APAR FT MAOS'!B:J,8,FALSE),
        VLOOKUP(B66,'SUMBER REKAP APAR'!F:O,7,FALSE)
    ),
    VLOOKUP(B66,'REKAP APAR FT MAOS'!B:J,8,FALSE)
)</f>
        <v>0</v>
      </c>
      <c r="J66" s="29">
        <f ca="1">IFERROR(
    IF(VLOOKUP(B66,'SUMBER REKAP APAR'!F:O,8,FALSE)="",
        VLOOKUP(B66,'REKAP APAR FT MAOS'!B:J,9,FALSE),
        VLOOKUP(B66,'SUMBER REKAP APAR'!F:O,8,FALSE)
    ),
    VLOOKUP(B66,'REKAP APAR FT MAOS'!B:J,9,FALSE)
)</f>
        <v>46254</v>
      </c>
      <c r="K66" s="29" t="e">
        <f ca="1">IFERROR(
    IF(VLOOKUP(B66,'SUMBER REKAP APAR'!F:O,9,FALSE)="",
        VLOOKUP(B66,'REKAP APAR FT MAOS'!B:J,10,FALSE),
        VLOOKUP(B66,'SUMBER REKAP APAR'!F:O,9,FALSE)
    ),
    VLOOKUP(B66,'REKAP APAR FT MAOS'!B:J,10,FALSE)
)</f>
        <v>#REF!</v>
      </c>
      <c r="L66" s="29" t="e">
        <f ca="1">IFERROR(
    IF(VLOOKUP(B66,'SUMBER REKAP APAR'!F:O,10,FALSE)="",
        VLOOKUP(B66,'REKAP APAR FT MAOS'!B:J,11,FALSE),
        VLOOKUP(B66,'SUMBER REKAP APAR'!F:O,10,FALSE)
    ),
    VLOOKUP(B66,'REKAP APAR FT MAOS'!B:J,11,FALSE)
)</f>
        <v>#REF!</v>
      </c>
      <c r="M66" s="29" t="e">
        <f ca="1">IFERROR(
    IF(VLOOKUP(B66,'SUMBER REKAP APAR'!F:Q,11,FALSE)="",
        VLOOKUP(B66,'REKAP APAR FT MAOS'!B:J,12,FALSE),
        VLOOKUP(B66,'SUMBER REKAP APAR'!F:Q,11,FALSE)
    ),
    VLOOKUP(B66,'REKAP APAR FT MAOS'!B:J,12,FALSE)
)</f>
        <v>#REF!</v>
      </c>
      <c r="N66" s="32">
        <f t="shared" ref="N66:R66" ca="1" si="125">IF(OR($AA$1="",D66=""),"",D66-$AA$1)</f>
        <v>28</v>
      </c>
      <c r="O66" s="32">
        <f t="shared" ca="1" si="125"/>
        <v>28</v>
      </c>
      <c r="P66" s="32">
        <f t="shared" ca="1" si="125"/>
        <v>-43</v>
      </c>
      <c r="Q66" s="32">
        <f t="shared" ca="1" si="125"/>
        <v>-46297</v>
      </c>
      <c r="R66" s="32">
        <f t="shared" ca="1" si="125"/>
        <v>-46297</v>
      </c>
      <c r="S66" s="195"/>
      <c r="T66" s="33">
        <f t="shared" ref="T66:X66" ca="1" si="126">COUNTIF(N66, "&lt;30")</f>
        <v>1</v>
      </c>
      <c r="U66" s="33">
        <f t="shared" ca="1" si="126"/>
        <v>1</v>
      </c>
      <c r="V66" s="33">
        <f t="shared" ca="1" si="126"/>
        <v>1</v>
      </c>
      <c r="W66" s="33">
        <f t="shared" ca="1" si="126"/>
        <v>1</v>
      </c>
      <c r="X66" s="33">
        <f t="shared" ca="1" si="126"/>
        <v>1</v>
      </c>
      <c r="Y66" s="34">
        <f t="shared" ca="1" si="2"/>
        <v>5</v>
      </c>
    </row>
    <row r="67" spans="1:25" ht="17.399999999999999">
      <c r="A67" s="3">
        <v>64</v>
      </c>
      <c r="B67" s="3" t="s">
        <v>124</v>
      </c>
      <c r="C67" s="22" t="s">
        <v>119</v>
      </c>
      <c r="D67" s="29">
        <f ca="1">IFERROR(
    IF(VLOOKUP(B67,'SUMBER REKAP APAR'!F:O,2,FALSE)="",
        VLOOKUP(B67,'REKAP APAR FT MAOS'!B:J,3,FALSE),
        VLOOKUP(B67,'SUMBER REKAP APAR'!F:O,2,FALSE)
    ),
    VLOOKUP(B67,'REKAP APAR FT MAOS'!B:J,3,FALSE)
)</f>
        <v>45978</v>
      </c>
      <c r="E67" s="29">
        <f ca="1">IFERROR(
    IF(VLOOKUP(B67,'SUMBER REKAP APAR'!F:O,3,FALSE)="",
        VLOOKUP(B67,'REKAP APAR FT MAOS'!B:J,4,FALSE),
        VLOOKUP(B67,'SUMBER REKAP APAR'!F:O,3,FALSE)
    ),
    VLOOKUP(B67,'REKAP APAR FT MAOS'!B:J,4,FALSE)
)</f>
        <v>45978</v>
      </c>
      <c r="F67" s="29">
        <f ca="1">IFERROR(
    IF(VLOOKUP(B67,'SUMBER REKAP APAR'!F:O,4,FALSE)="",
        VLOOKUP(B67,'REKAP APAR FT MAOS'!B:J,5,FALSE),
        VLOOKUP(B67,'SUMBER REKAP APAR'!F:O,4,FALSE)
    ),
    VLOOKUP(B67,'REKAP APAR FT MAOS'!B:J,5,FALSE)
)</f>
        <v>46008</v>
      </c>
      <c r="G67" s="29">
        <f ca="1">IFERROR(
    IF(VLOOKUP(B67,'SUMBER REKAP APAR'!F:O,5,FALSE)="",
        VLOOKUP(B67,'REKAP APAR FT MAOS'!B:J,6,FALSE),
        VLOOKUP(B67,'SUMBER REKAP APAR'!F:O,5,FALSE)
    ),
    VLOOKUP(B67,'REKAP APAR FT MAOS'!B:J,6,FALSE)
)</f>
        <v>45978</v>
      </c>
      <c r="H67" s="29">
        <f ca="1">IFERROR(
    IF(VLOOKUP(B67,'SUMBER REKAP APAR'!F:O,6,FALSE)="",
        VLOOKUP(B67,'REKAP APAR FT MAOS'!B:J,7,FALSE),
        VLOOKUP(B67,'SUMBER REKAP APAR'!F:O,6,FALSE)
    ),
    VLOOKUP(B67,'REKAP APAR FT MAOS'!B:J,7,FALSE)
)</f>
        <v>0</v>
      </c>
      <c r="I67" s="29">
        <f ca="1">IFERROR(
    IF(VLOOKUP(B67,'SUMBER REKAP APAR'!F:O,7,FALSE)="",
        VLOOKUP(B67,'REKAP APAR FT MAOS'!B:J,8,FALSE),
        VLOOKUP(B67,'SUMBER REKAP APAR'!F:O,7,FALSE)
    ),
    VLOOKUP(B67,'REKAP APAR FT MAOS'!B:J,8,FALSE)
)</f>
        <v>0</v>
      </c>
      <c r="J67" s="29">
        <f ca="1">IFERROR(
    IF(VLOOKUP(B67,'SUMBER REKAP APAR'!F:O,8,FALSE)="",
        VLOOKUP(B67,'REKAP APAR FT MAOS'!B:J,9,FALSE),
        VLOOKUP(B67,'SUMBER REKAP APAR'!F:O,8,FALSE)
    ),
    VLOOKUP(B67,'REKAP APAR FT MAOS'!B:J,9,FALSE)
)</f>
        <v>46254</v>
      </c>
      <c r="K67" s="29" t="e">
        <f ca="1">IFERROR(
    IF(VLOOKUP(B67,'SUMBER REKAP APAR'!F:O,9,FALSE)="",
        VLOOKUP(B67,'REKAP APAR FT MAOS'!B:J,10,FALSE),
        VLOOKUP(B67,'SUMBER REKAP APAR'!F:O,9,FALSE)
    ),
    VLOOKUP(B67,'REKAP APAR FT MAOS'!B:J,10,FALSE)
)</f>
        <v>#REF!</v>
      </c>
      <c r="L67" s="29" t="e">
        <f ca="1">IFERROR(
    IF(VLOOKUP(B67,'SUMBER REKAP APAR'!F:O,10,FALSE)="",
        VLOOKUP(B67,'REKAP APAR FT MAOS'!B:J,11,FALSE),
        VLOOKUP(B67,'SUMBER REKAP APAR'!F:O,10,FALSE)
    ),
    VLOOKUP(B67,'REKAP APAR FT MAOS'!B:J,11,FALSE)
)</f>
        <v>#REF!</v>
      </c>
      <c r="M67" s="29" t="e">
        <f ca="1">IFERROR(
    IF(VLOOKUP(B67,'SUMBER REKAP APAR'!F:Q,11,FALSE)="",
        VLOOKUP(B67,'REKAP APAR FT MAOS'!B:J,12,FALSE),
        VLOOKUP(B67,'SUMBER REKAP APAR'!F:Q,11,FALSE)
    ),
    VLOOKUP(B67,'REKAP APAR FT MAOS'!B:J,12,FALSE)
)</f>
        <v>#REF!</v>
      </c>
      <c r="N67" s="32">
        <f t="shared" ref="N67:R67" ca="1" si="127">IF(OR($AA$1="",D67=""),"",D67-$AA$1)</f>
        <v>-319</v>
      </c>
      <c r="O67" s="32">
        <f t="shared" ca="1" si="127"/>
        <v>-319</v>
      </c>
      <c r="P67" s="32">
        <f t="shared" ca="1" si="127"/>
        <v>-289</v>
      </c>
      <c r="Q67" s="32">
        <f t="shared" ca="1" si="127"/>
        <v>-319</v>
      </c>
      <c r="R67" s="32">
        <f t="shared" ca="1" si="127"/>
        <v>-46297</v>
      </c>
      <c r="S67" s="195"/>
      <c r="T67" s="33">
        <f t="shared" ref="T67:X67" ca="1" si="128">COUNTIF(N67, "&lt;30")</f>
        <v>1</v>
      </c>
      <c r="U67" s="33">
        <f t="shared" ca="1" si="128"/>
        <v>1</v>
      </c>
      <c r="V67" s="33">
        <f t="shared" ca="1" si="128"/>
        <v>1</v>
      </c>
      <c r="W67" s="33">
        <f t="shared" ca="1" si="128"/>
        <v>1</v>
      </c>
      <c r="X67" s="33">
        <f t="shared" ca="1" si="128"/>
        <v>1</v>
      </c>
      <c r="Y67" s="34">
        <f t="shared" ca="1" si="2"/>
        <v>5</v>
      </c>
    </row>
    <row r="68" spans="1:25" ht="17.399999999999999">
      <c r="A68" s="3">
        <v>65</v>
      </c>
      <c r="B68" s="3" t="s">
        <v>125</v>
      </c>
      <c r="C68" s="22" t="s">
        <v>126</v>
      </c>
      <c r="D68" s="29">
        <f ca="1">IFERROR(
    IF(VLOOKUP(B68,'SUMBER REKAP APAR'!F:O,2,FALSE)="",
        VLOOKUP(B68,'REKAP APAR FT MAOS'!B:J,3,FALSE),
        VLOOKUP(B68,'SUMBER REKAP APAR'!F:O,2,FALSE)
    ),
    VLOOKUP(B68,'REKAP APAR FT MAOS'!B:J,3,FALSE)
)</f>
        <v>46418</v>
      </c>
      <c r="E68" s="29">
        <f ca="1">IFERROR(
    IF(VLOOKUP(B68,'SUMBER REKAP APAR'!F:O,3,FALSE)="",
        VLOOKUP(B68,'REKAP APAR FT MAOS'!B:J,4,FALSE),
        VLOOKUP(B68,'SUMBER REKAP APAR'!F:O,3,FALSE)
    ),
    VLOOKUP(B68,'REKAP APAR FT MAOS'!B:J,4,FALSE)
)</f>
        <v>46418</v>
      </c>
      <c r="F68" s="29">
        <f ca="1">IFERROR(
    IF(VLOOKUP(B68,'SUMBER REKAP APAR'!F:O,4,FALSE)="",
        VLOOKUP(B68,'REKAP APAR FT MAOS'!B:J,5,FALSE),
        VLOOKUP(B68,'SUMBER REKAP APAR'!F:O,4,FALSE)
    ),
    VLOOKUP(B68,'REKAP APAR FT MAOS'!B:J,5,FALSE)
)</f>
        <v>46254</v>
      </c>
      <c r="G68" s="29">
        <f ca="1">IFERROR(
    IF(VLOOKUP(B68,'SUMBER REKAP APAR'!F:O,5,FALSE)="",
        VLOOKUP(B68,'REKAP APAR FT MAOS'!B:J,6,FALSE),
        VLOOKUP(B68,'SUMBER REKAP APAR'!F:O,5,FALSE)
    ),
    VLOOKUP(B68,'REKAP APAR FT MAOS'!B:J,6,FALSE)
)</f>
        <v>0</v>
      </c>
      <c r="H68" s="29">
        <f ca="1">IFERROR(
    IF(VLOOKUP(B68,'SUMBER REKAP APAR'!F:O,6,FALSE)="",
        VLOOKUP(B68,'REKAP APAR FT MAOS'!B:J,7,FALSE),
        VLOOKUP(B68,'SUMBER REKAP APAR'!F:O,6,FALSE)
    ),
    VLOOKUP(B68,'REKAP APAR FT MAOS'!B:J,7,FALSE)
)</f>
        <v>0</v>
      </c>
      <c r="I68" s="29">
        <f ca="1">IFERROR(
    IF(VLOOKUP(B68,'SUMBER REKAP APAR'!F:O,7,FALSE)="",
        VLOOKUP(B68,'REKAP APAR FT MAOS'!B:J,8,FALSE),
        VLOOKUP(B68,'SUMBER REKAP APAR'!F:O,7,FALSE)
    ),
    VLOOKUP(B68,'REKAP APAR FT MAOS'!B:J,8,FALSE)
)</f>
        <v>0</v>
      </c>
      <c r="J68" s="29">
        <f ca="1">IFERROR(
    IF(VLOOKUP(B68,'SUMBER REKAP APAR'!F:O,8,FALSE)="",
        VLOOKUP(B68,'REKAP APAR FT MAOS'!B:J,9,FALSE),
        VLOOKUP(B68,'SUMBER REKAP APAR'!F:O,8,FALSE)
    ),
    VLOOKUP(B68,'REKAP APAR FT MAOS'!B:J,9,FALSE)
)</f>
        <v>46283</v>
      </c>
      <c r="K68" s="29" t="e">
        <f ca="1">IFERROR(
    IF(VLOOKUP(B68,'SUMBER REKAP APAR'!F:O,9,FALSE)="",
        VLOOKUP(B68,'REKAP APAR FT MAOS'!B:J,10,FALSE),
        VLOOKUP(B68,'SUMBER REKAP APAR'!F:O,9,FALSE)
    ),
    VLOOKUP(B68,'REKAP APAR FT MAOS'!B:J,10,FALSE)
)</f>
        <v>#REF!</v>
      </c>
      <c r="L68" s="29" t="e">
        <f ca="1">IFERROR(
    IF(VLOOKUP(B68,'SUMBER REKAP APAR'!F:O,10,FALSE)="",
        VLOOKUP(B68,'REKAP APAR FT MAOS'!B:J,11,FALSE),
        VLOOKUP(B68,'SUMBER REKAP APAR'!F:O,10,FALSE)
    ),
    VLOOKUP(B68,'REKAP APAR FT MAOS'!B:J,11,FALSE)
)</f>
        <v>#REF!</v>
      </c>
      <c r="M68" s="29" t="e">
        <f ca="1">IFERROR(
    IF(VLOOKUP(B68,'SUMBER REKAP APAR'!F:Q,11,FALSE)="",
        VLOOKUP(B68,'REKAP APAR FT MAOS'!B:J,12,FALSE),
        VLOOKUP(B68,'SUMBER REKAP APAR'!F:Q,11,FALSE)
    ),
    VLOOKUP(B68,'REKAP APAR FT MAOS'!B:J,12,FALSE)
)</f>
        <v>#REF!</v>
      </c>
      <c r="N68" s="32">
        <f t="shared" ref="N68:R68" ca="1" si="129">IF(OR($AA$1="",D68=""),"",D68-$AA$1)</f>
        <v>121</v>
      </c>
      <c r="O68" s="32">
        <f t="shared" ca="1" si="129"/>
        <v>121</v>
      </c>
      <c r="P68" s="32">
        <f t="shared" ca="1" si="129"/>
        <v>-43</v>
      </c>
      <c r="Q68" s="32">
        <f t="shared" ca="1" si="129"/>
        <v>-46297</v>
      </c>
      <c r="R68" s="32">
        <f t="shared" ca="1" si="129"/>
        <v>-46297</v>
      </c>
      <c r="S68" s="195"/>
      <c r="T68" s="33">
        <f t="shared" ref="T68:X68" ca="1" si="130">COUNTIF(N68, "&lt;30")</f>
        <v>0</v>
      </c>
      <c r="U68" s="33">
        <f t="shared" ca="1" si="130"/>
        <v>0</v>
      </c>
      <c r="V68" s="33">
        <f t="shared" ca="1" si="130"/>
        <v>1</v>
      </c>
      <c r="W68" s="33">
        <f t="shared" ca="1" si="130"/>
        <v>1</v>
      </c>
      <c r="X68" s="33">
        <f t="shared" ca="1" si="130"/>
        <v>1</v>
      </c>
      <c r="Y68" s="34">
        <f t="shared" ca="1" si="2"/>
        <v>3</v>
      </c>
    </row>
    <row r="69" spans="1:25" ht="17.399999999999999">
      <c r="A69" s="3">
        <v>66</v>
      </c>
      <c r="B69" s="3" t="s">
        <v>141</v>
      </c>
      <c r="C69" s="22" t="s">
        <v>130</v>
      </c>
      <c r="D69" s="29">
        <f ca="1">IFERROR(
    IF(VLOOKUP(B69,'SUMBER REKAP APAR'!F:O,2,FALSE)="",
        VLOOKUP(B69,'REKAP APAR FT MAOS'!B:J,3,FALSE),
        VLOOKUP(B69,'SUMBER REKAP APAR'!F:O,2,FALSE)
    ),
    VLOOKUP(B69,'REKAP APAR FT MAOS'!B:J,3,FALSE)
)</f>
        <v>46418</v>
      </c>
      <c r="E69" s="29">
        <f ca="1">IFERROR(
    IF(VLOOKUP(B69,'SUMBER REKAP APAR'!F:O,3,FALSE)="",
        VLOOKUP(B69,'REKAP APAR FT MAOS'!B:J,4,FALSE),
        VLOOKUP(B69,'SUMBER REKAP APAR'!F:O,3,FALSE)
    ),
    VLOOKUP(B69,'REKAP APAR FT MAOS'!B:J,4,FALSE)
)</f>
        <v>46418</v>
      </c>
      <c r="F69" s="29">
        <f ca="1">IFERROR(
    IF(VLOOKUP(B69,'SUMBER REKAP APAR'!F:O,4,FALSE)="",
        VLOOKUP(B69,'REKAP APAR FT MAOS'!B:J,5,FALSE),
        VLOOKUP(B69,'SUMBER REKAP APAR'!F:O,4,FALSE)
    ),
    VLOOKUP(B69,'REKAP APAR FT MAOS'!B:J,5,FALSE)
)</f>
        <v>46283</v>
      </c>
      <c r="G69" s="29">
        <f ca="1">IFERROR(
    IF(VLOOKUP(B69,'SUMBER REKAP APAR'!F:O,5,FALSE)="",
        VLOOKUP(B69,'REKAP APAR FT MAOS'!B:J,6,FALSE),
        VLOOKUP(B69,'SUMBER REKAP APAR'!F:O,5,FALSE)
    ),
    VLOOKUP(B69,'REKAP APAR FT MAOS'!B:J,6,FALSE)
)</f>
        <v>0</v>
      </c>
      <c r="H69" s="29">
        <f ca="1">IFERROR(
    IF(VLOOKUP(B69,'SUMBER REKAP APAR'!F:O,6,FALSE)="",
        VLOOKUP(B69,'REKAP APAR FT MAOS'!B:J,7,FALSE),
        VLOOKUP(B69,'SUMBER REKAP APAR'!F:O,6,FALSE)
    ),
    VLOOKUP(B69,'REKAP APAR FT MAOS'!B:J,7,FALSE)
)</f>
        <v>0</v>
      </c>
      <c r="I69" s="29">
        <f ca="1">IFERROR(
    IF(VLOOKUP(B69,'SUMBER REKAP APAR'!F:O,7,FALSE)="",
        VLOOKUP(B69,'REKAP APAR FT MAOS'!B:J,8,FALSE),
        VLOOKUP(B69,'SUMBER REKAP APAR'!F:O,7,FALSE)
    ),
    VLOOKUP(B69,'REKAP APAR FT MAOS'!B:J,8,FALSE)
)</f>
        <v>0</v>
      </c>
      <c r="J69" s="29">
        <f ca="1">IFERROR(
    IF(VLOOKUP(B69,'SUMBER REKAP APAR'!F:O,8,FALSE)="",
        VLOOKUP(B69,'REKAP APAR FT MAOS'!B:J,9,FALSE),
        VLOOKUP(B69,'SUMBER REKAP APAR'!F:O,8,FALSE)
    ),
    VLOOKUP(B69,'REKAP APAR FT MAOS'!B:J,9,FALSE)
)</f>
        <v>46283</v>
      </c>
      <c r="K69" s="29" t="e">
        <f ca="1">IFERROR(
    IF(VLOOKUP(B69,'SUMBER REKAP APAR'!F:O,9,FALSE)="",
        VLOOKUP(B69,'REKAP APAR FT MAOS'!B:J,10,FALSE),
        VLOOKUP(B69,'SUMBER REKAP APAR'!F:O,9,FALSE)
    ),
    VLOOKUP(B69,'REKAP APAR FT MAOS'!B:J,10,FALSE)
)</f>
        <v>#REF!</v>
      </c>
      <c r="L69" s="29" t="e">
        <f ca="1">IFERROR(
    IF(VLOOKUP(B69,'SUMBER REKAP APAR'!F:O,10,FALSE)="",
        VLOOKUP(B69,'REKAP APAR FT MAOS'!B:J,11,FALSE),
        VLOOKUP(B69,'SUMBER REKAP APAR'!F:O,10,FALSE)
    ),
    VLOOKUP(B69,'REKAP APAR FT MAOS'!B:J,11,FALSE)
)</f>
        <v>#REF!</v>
      </c>
      <c r="M69" s="29" t="e">
        <f ca="1">IFERROR(
    IF(VLOOKUP(B69,'SUMBER REKAP APAR'!F:Q,11,FALSE)="",
        VLOOKUP(B69,'REKAP APAR FT MAOS'!B:J,12,FALSE),
        VLOOKUP(B69,'SUMBER REKAP APAR'!F:Q,11,FALSE)
    ),
    VLOOKUP(B69,'REKAP APAR FT MAOS'!B:J,12,FALSE)
)</f>
        <v>#REF!</v>
      </c>
      <c r="N69" s="32">
        <f t="shared" ref="N69:R69" ca="1" si="131">IF(OR($AA$1="",D69=""),"",D69-$AA$1)</f>
        <v>121</v>
      </c>
      <c r="O69" s="32">
        <f t="shared" ca="1" si="131"/>
        <v>121</v>
      </c>
      <c r="P69" s="32">
        <f t="shared" ca="1" si="131"/>
        <v>-14</v>
      </c>
      <c r="Q69" s="32">
        <f t="shared" ca="1" si="131"/>
        <v>-46297</v>
      </c>
      <c r="R69" s="32">
        <f t="shared" ca="1" si="131"/>
        <v>-46297</v>
      </c>
      <c r="S69" s="195"/>
      <c r="T69" s="33">
        <f t="shared" ref="T69:X69" ca="1" si="132">COUNTIF(N69, "&lt;30")</f>
        <v>0</v>
      </c>
      <c r="U69" s="33">
        <f t="shared" ca="1" si="132"/>
        <v>0</v>
      </c>
      <c r="V69" s="33">
        <f t="shared" ca="1" si="132"/>
        <v>1</v>
      </c>
      <c r="W69" s="33">
        <f t="shared" ca="1" si="132"/>
        <v>1</v>
      </c>
      <c r="X69" s="33">
        <f t="shared" ca="1" si="132"/>
        <v>1</v>
      </c>
      <c r="Y69" s="34">
        <f t="shared" ca="1" si="2"/>
        <v>3</v>
      </c>
    </row>
    <row r="70" spans="1:25" ht="17.399999999999999">
      <c r="A70" s="3">
        <v>67</v>
      </c>
      <c r="B70" s="3" t="s">
        <v>131</v>
      </c>
      <c r="C70" s="22" t="s">
        <v>130</v>
      </c>
      <c r="D70" s="29">
        <f ca="1">IFERROR(
    IF(VLOOKUP(B70,'SUMBER REKAP APAR'!F:O,2,FALSE)="",
        VLOOKUP(B70,'REKAP APAR FT MAOS'!B:J,3,FALSE),
        VLOOKUP(B70,'SUMBER REKAP APAR'!F:O,2,FALSE)
    ),
    VLOOKUP(B70,'REKAP APAR FT MAOS'!B:J,3,FALSE)
)</f>
        <v>0</v>
      </c>
      <c r="E70" s="29">
        <f ca="1">IFERROR(
    IF(VLOOKUP(B70,'SUMBER REKAP APAR'!F:O,3,FALSE)="",
        VLOOKUP(B70,'REKAP APAR FT MAOS'!B:J,4,FALSE),
        VLOOKUP(B70,'SUMBER REKAP APAR'!F:O,3,FALSE)
    ),
    VLOOKUP(B70,'REKAP APAR FT MAOS'!B:J,4,FALSE)
)</f>
        <v>0</v>
      </c>
      <c r="F70" s="29">
        <f ca="1">IFERROR(
    IF(VLOOKUP(B70,'SUMBER REKAP APAR'!F:O,4,FALSE)="",
        VLOOKUP(B70,'REKAP APAR FT MAOS'!B:J,5,FALSE),
        VLOOKUP(B70,'SUMBER REKAP APAR'!F:O,4,FALSE)
    ),
    VLOOKUP(B70,'REKAP APAR FT MAOS'!B:J,5,FALSE)
)</f>
        <v>46418</v>
      </c>
      <c r="G70" s="29">
        <f ca="1">IFERROR(
    IF(VLOOKUP(B70,'SUMBER REKAP APAR'!F:O,5,FALSE)="",
        VLOOKUP(B70,'REKAP APAR FT MAOS'!B:J,6,FALSE),
        VLOOKUP(B70,'SUMBER REKAP APAR'!F:O,5,FALSE)
    ),
    VLOOKUP(B70,'REKAP APAR FT MAOS'!B:J,6,FALSE)
)</f>
        <v>46418</v>
      </c>
      <c r="H70" s="29">
        <f ca="1">IFERROR(
    IF(VLOOKUP(B70,'SUMBER REKAP APAR'!F:O,6,FALSE)="",
        VLOOKUP(B70,'REKAP APAR FT MAOS'!B:J,7,FALSE),
        VLOOKUP(B70,'SUMBER REKAP APAR'!F:O,6,FALSE)
    ),
    VLOOKUP(B70,'REKAP APAR FT MAOS'!B:J,7,FALSE)
)</f>
        <v>0</v>
      </c>
      <c r="I70" s="29">
        <f ca="1">IFERROR(
    IF(VLOOKUP(B70,'SUMBER REKAP APAR'!F:O,7,FALSE)="",
        VLOOKUP(B70,'REKAP APAR FT MAOS'!B:J,8,FALSE),
        VLOOKUP(B70,'SUMBER REKAP APAR'!F:O,7,FALSE)
    ),
    VLOOKUP(B70,'REKAP APAR FT MAOS'!B:J,8,FALSE)
)</f>
        <v>46418</v>
      </c>
      <c r="J70" s="29">
        <f ca="1">IFERROR(
    IF(VLOOKUP(B70,'SUMBER REKAP APAR'!F:O,8,FALSE)="",
        VLOOKUP(B70,'REKAP APAR FT MAOS'!B:J,9,FALSE),
        VLOOKUP(B70,'SUMBER REKAP APAR'!F:O,8,FALSE)
    ),
    VLOOKUP(B70,'REKAP APAR FT MAOS'!B:J,9,FALSE)
)</f>
        <v>46376</v>
      </c>
      <c r="K70" s="29" t="e">
        <f ca="1">IFERROR(
    IF(VLOOKUP(B70,'SUMBER REKAP APAR'!F:O,9,FALSE)="",
        VLOOKUP(B70,'REKAP APAR FT MAOS'!B:J,10,FALSE),
        VLOOKUP(B70,'SUMBER REKAP APAR'!F:O,9,FALSE)
    ),
    VLOOKUP(B70,'REKAP APAR FT MAOS'!B:J,10,FALSE)
)</f>
        <v>#REF!</v>
      </c>
      <c r="L70" s="29" t="e">
        <f ca="1">IFERROR(
    IF(VLOOKUP(B70,'SUMBER REKAP APAR'!F:O,10,FALSE)="",
        VLOOKUP(B70,'REKAP APAR FT MAOS'!B:J,11,FALSE),
        VLOOKUP(B70,'SUMBER REKAP APAR'!F:O,10,FALSE)
    ),
    VLOOKUP(B70,'REKAP APAR FT MAOS'!B:J,11,FALSE)
)</f>
        <v>#REF!</v>
      </c>
      <c r="M70" s="29" t="e">
        <f ca="1">IFERROR(
    IF(VLOOKUP(B70,'SUMBER REKAP APAR'!F:Q,11,FALSE)="",
        VLOOKUP(B70,'REKAP APAR FT MAOS'!B:J,12,FALSE),
        VLOOKUP(B70,'SUMBER REKAP APAR'!F:Q,11,FALSE)
    ),
    VLOOKUP(B70,'REKAP APAR FT MAOS'!B:J,12,FALSE)
)</f>
        <v>#REF!</v>
      </c>
      <c r="N70" s="32">
        <f t="shared" ref="N70:R70" ca="1" si="133">IF(OR($AA$1="",D70=""),"",D70-$AA$1)</f>
        <v>-46297</v>
      </c>
      <c r="O70" s="32">
        <f t="shared" ca="1" si="133"/>
        <v>-46297</v>
      </c>
      <c r="P70" s="32">
        <f t="shared" ca="1" si="133"/>
        <v>121</v>
      </c>
      <c r="Q70" s="32">
        <f t="shared" ca="1" si="133"/>
        <v>121</v>
      </c>
      <c r="R70" s="32">
        <f t="shared" ca="1" si="133"/>
        <v>-46297</v>
      </c>
      <c r="S70" s="195"/>
      <c r="T70" s="33">
        <f t="shared" ref="T70:X70" ca="1" si="134">COUNTIF(N70, "&lt;30")</f>
        <v>1</v>
      </c>
      <c r="U70" s="33">
        <f t="shared" ca="1" si="134"/>
        <v>1</v>
      </c>
      <c r="V70" s="33">
        <f t="shared" ca="1" si="134"/>
        <v>0</v>
      </c>
      <c r="W70" s="33">
        <f t="shared" ca="1" si="134"/>
        <v>0</v>
      </c>
      <c r="X70" s="33">
        <f t="shared" ca="1" si="134"/>
        <v>1</v>
      </c>
      <c r="Y70" s="34">
        <f t="shared" ca="1" si="2"/>
        <v>3</v>
      </c>
    </row>
    <row r="71" spans="1:25" ht="17.399999999999999">
      <c r="A71" s="3">
        <v>68</v>
      </c>
      <c r="B71" s="3" t="s">
        <v>137</v>
      </c>
      <c r="C71" s="22" t="s">
        <v>130</v>
      </c>
      <c r="D71" s="29">
        <f ca="1">IFERROR(
    IF(VLOOKUP(B71,'SUMBER REKAP APAR'!F:O,2,FALSE)="",
        VLOOKUP(B71,'REKAP APAR FT MAOS'!B:J,3,FALSE),
        VLOOKUP(B71,'SUMBER REKAP APAR'!F:O,2,FALSE)
    ),
    VLOOKUP(B71,'REKAP APAR FT MAOS'!B:J,3,FALSE)
)</f>
        <v>46446</v>
      </c>
      <c r="E71" s="29">
        <f ca="1">IFERROR(
    IF(VLOOKUP(B71,'SUMBER REKAP APAR'!F:O,3,FALSE)="",
        VLOOKUP(B71,'REKAP APAR FT MAOS'!B:J,4,FALSE),
        VLOOKUP(B71,'SUMBER REKAP APAR'!F:O,3,FALSE)
    ),
    VLOOKUP(B71,'REKAP APAR FT MAOS'!B:J,4,FALSE)
)</f>
        <v>46446</v>
      </c>
      <c r="F71" s="29">
        <f ca="1">IFERROR(
    IF(VLOOKUP(B71,'SUMBER REKAP APAR'!F:O,4,FALSE)="",
        VLOOKUP(B71,'REKAP APAR FT MAOS'!B:J,5,FALSE),
        VLOOKUP(B71,'SUMBER REKAP APAR'!F:O,4,FALSE)
    ),
    VLOOKUP(B71,'REKAP APAR FT MAOS'!B:J,5,FALSE)
)</f>
        <v>46418</v>
      </c>
      <c r="G71" s="29">
        <f ca="1">IFERROR(
    IF(VLOOKUP(B71,'SUMBER REKAP APAR'!F:O,5,FALSE)="",
        VLOOKUP(B71,'REKAP APAR FT MAOS'!B:J,6,FALSE),
        VLOOKUP(B71,'SUMBER REKAP APAR'!F:O,5,FALSE)
    ),
    VLOOKUP(B71,'REKAP APAR FT MAOS'!B:J,6,FALSE)
)</f>
        <v>0</v>
      </c>
      <c r="H71" s="29">
        <f ca="1">IFERROR(
    IF(VLOOKUP(B71,'SUMBER REKAP APAR'!F:O,6,FALSE)="",
        VLOOKUP(B71,'REKAP APAR FT MAOS'!B:J,7,FALSE),
        VLOOKUP(B71,'SUMBER REKAP APAR'!F:O,6,FALSE)
    ),
    VLOOKUP(B71,'REKAP APAR FT MAOS'!B:J,7,FALSE)
)</f>
        <v>0</v>
      </c>
      <c r="I71" s="29">
        <f ca="1">IFERROR(
    IF(VLOOKUP(B71,'SUMBER REKAP APAR'!F:O,7,FALSE)="",
        VLOOKUP(B71,'REKAP APAR FT MAOS'!B:J,8,FALSE),
        VLOOKUP(B71,'SUMBER REKAP APAR'!F:O,7,FALSE)
    ),
    VLOOKUP(B71,'REKAP APAR FT MAOS'!B:J,8,FALSE)
)</f>
        <v>0</v>
      </c>
      <c r="J71" s="29">
        <f ca="1">IFERROR(
    IF(VLOOKUP(B71,'SUMBER REKAP APAR'!F:O,8,FALSE)="",
        VLOOKUP(B71,'REKAP APAR FT MAOS'!B:J,9,FALSE),
        VLOOKUP(B71,'SUMBER REKAP APAR'!F:O,8,FALSE)
    ),
    VLOOKUP(B71,'REKAP APAR FT MAOS'!B:J,9,FALSE)
)</f>
        <v>46446</v>
      </c>
      <c r="K71" s="29" t="e">
        <f ca="1">IFERROR(
    IF(VLOOKUP(B71,'SUMBER REKAP APAR'!F:O,9,FALSE)="",
        VLOOKUP(B71,'REKAP APAR FT MAOS'!B:J,10,FALSE),
        VLOOKUP(B71,'SUMBER REKAP APAR'!F:O,9,FALSE)
    ),
    VLOOKUP(B71,'REKAP APAR FT MAOS'!B:J,10,FALSE)
)</f>
        <v>#REF!</v>
      </c>
      <c r="L71" s="29" t="e">
        <f ca="1">IFERROR(
    IF(VLOOKUP(B71,'SUMBER REKAP APAR'!F:O,10,FALSE)="",
        VLOOKUP(B71,'REKAP APAR FT MAOS'!B:J,11,FALSE),
        VLOOKUP(B71,'SUMBER REKAP APAR'!F:O,10,FALSE)
    ),
    VLOOKUP(B71,'REKAP APAR FT MAOS'!B:J,11,FALSE)
)</f>
        <v>#REF!</v>
      </c>
      <c r="M71" s="29" t="e">
        <f ca="1">IFERROR(
    IF(VLOOKUP(B71,'SUMBER REKAP APAR'!F:Q,11,FALSE)="",
        VLOOKUP(B71,'REKAP APAR FT MAOS'!B:J,12,FALSE),
        VLOOKUP(B71,'SUMBER REKAP APAR'!F:Q,11,FALSE)
    ),
    VLOOKUP(B71,'REKAP APAR FT MAOS'!B:J,12,FALSE)
)</f>
        <v>#REF!</v>
      </c>
      <c r="N71" s="32">
        <f t="shared" ref="N71:R71" ca="1" si="135">IF(OR($AA$1="",D71=""),"",D71-$AA$1)</f>
        <v>149</v>
      </c>
      <c r="O71" s="32">
        <f t="shared" ca="1" si="135"/>
        <v>149</v>
      </c>
      <c r="P71" s="32">
        <f t="shared" ca="1" si="135"/>
        <v>121</v>
      </c>
      <c r="Q71" s="32">
        <f t="shared" ca="1" si="135"/>
        <v>-46297</v>
      </c>
      <c r="R71" s="32">
        <f t="shared" ca="1" si="135"/>
        <v>-46297</v>
      </c>
      <c r="S71" s="195"/>
      <c r="T71" s="33">
        <f t="shared" ref="T71:X71" ca="1" si="136">COUNTIF(N71, "&lt;30")</f>
        <v>0</v>
      </c>
      <c r="U71" s="33">
        <f t="shared" ca="1" si="136"/>
        <v>0</v>
      </c>
      <c r="V71" s="33">
        <f t="shared" ca="1" si="136"/>
        <v>0</v>
      </c>
      <c r="W71" s="33">
        <f t="shared" ca="1" si="136"/>
        <v>1</v>
      </c>
      <c r="X71" s="33">
        <f t="shared" ca="1" si="136"/>
        <v>1</v>
      </c>
      <c r="Y71" s="34">
        <f t="shared" ca="1" si="2"/>
        <v>2</v>
      </c>
    </row>
    <row r="72" spans="1:25" ht="17.399999999999999">
      <c r="A72" s="3">
        <v>69</v>
      </c>
      <c r="B72" s="3" t="s">
        <v>136</v>
      </c>
      <c r="C72" s="22" t="s">
        <v>130</v>
      </c>
      <c r="D72" s="29">
        <f ca="1">IFERROR(
    IF(VLOOKUP(B72,'SUMBER REKAP APAR'!F:O,2,FALSE)="",
        VLOOKUP(B72,'REKAP APAR FT MAOS'!B:J,3,FALSE),
        VLOOKUP(B72,'SUMBER REKAP APAR'!F:O,2,FALSE)
    ),
    VLOOKUP(B72,'REKAP APAR FT MAOS'!B:J,3,FALSE)
)</f>
        <v>45978</v>
      </c>
      <c r="E72" s="29">
        <f ca="1">IFERROR(
    IF(VLOOKUP(B72,'SUMBER REKAP APAR'!F:O,3,FALSE)="",
        VLOOKUP(B72,'REKAP APAR FT MAOS'!B:J,4,FALSE),
        VLOOKUP(B72,'SUMBER REKAP APAR'!F:O,3,FALSE)
    ),
    VLOOKUP(B72,'REKAP APAR FT MAOS'!B:J,4,FALSE)
)</f>
        <v>45978</v>
      </c>
      <c r="F72" s="29">
        <f ca="1">IFERROR(
    IF(VLOOKUP(B72,'SUMBER REKAP APAR'!F:O,4,FALSE)="",
        VLOOKUP(B72,'REKAP APAR FT MAOS'!B:J,5,FALSE),
        VLOOKUP(B72,'SUMBER REKAP APAR'!F:O,4,FALSE)
    ),
    VLOOKUP(B72,'REKAP APAR FT MAOS'!B:J,5,FALSE)
)</f>
        <v>46023</v>
      </c>
      <c r="G72" s="29">
        <f ca="1">IFERROR(
    IF(VLOOKUP(B72,'SUMBER REKAP APAR'!F:O,5,FALSE)="",
        VLOOKUP(B72,'REKAP APAR FT MAOS'!B:J,6,FALSE),
        VLOOKUP(B72,'SUMBER REKAP APAR'!F:O,5,FALSE)
    ),
    VLOOKUP(B72,'REKAP APAR FT MAOS'!B:J,6,FALSE)
)</f>
        <v>46023</v>
      </c>
      <c r="H72" s="29">
        <f ca="1">IFERROR(
    IF(VLOOKUP(B72,'SUMBER REKAP APAR'!F:O,6,FALSE)="",
        VLOOKUP(B72,'REKAP APAR FT MAOS'!B:J,7,FALSE),
        VLOOKUP(B72,'SUMBER REKAP APAR'!F:O,6,FALSE)
    ),
    VLOOKUP(B72,'REKAP APAR FT MAOS'!B:J,7,FALSE)
)</f>
        <v>0</v>
      </c>
      <c r="I72" s="29">
        <f ca="1">IFERROR(
    IF(VLOOKUP(B72,'SUMBER REKAP APAR'!F:O,7,FALSE)="",
        VLOOKUP(B72,'REKAP APAR FT MAOS'!B:J,8,FALSE),
        VLOOKUP(B72,'SUMBER REKAP APAR'!F:O,7,FALSE)
    ),
    VLOOKUP(B72,'REKAP APAR FT MAOS'!B:J,8,FALSE)
)</f>
        <v>0</v>
      </c>
      <c r="J72" s="29">
        <f ca="1">IFERROR(
    IF(VLOOKUP(B72,'SUMBER REKAP APAR'!F:O,8,FALSE)="",
        VLOOKUP(B72,'REKAP APAR FT MAOS'!B:J,9,FALSE),
        VLOOKUP(B72,'SUMBER REKAP APAR'!F:O,8,FALSE)
    ),
    VLOOKUP(B72,'REKAP APAR FT MAOS'!B:J,9,FALSE)
)</f>
        <v>46446</v>
      </c>
      <c r="K72" s="29" t="e">
        <f ca="1">IFERROR(
    IF(VLOOKUP(B72,'SUMBER REKAP APAR'!F:O,9,FALSE)="",
        VLOOKUP(B72,'REKAP APAR FT MAOS'!B:J,10,FALSE),
        VLOOKUP(B72,'SUMBER REKAP APAR'!F:O,9,FALSE)
    ),
    VLOOKUP(B72,'REKAP APAR FT MAOS'!B:J,10,FALSE)
)</f>
        <v>#REF!</v>
      </c>
      <c r="L72" s="29" t="e">
        <f ca="1">IFERROR(
    IF(VLOOKUP(B72,'SUMBER REKAP APAR'!F:O,10,FALSE)="",
        VLOOKUP(B72,'REKAP APAR FT MAOS'!B:J,11,FALSE),
        VLOOKUP(B72,'SUMBER REKAP APAR'!F:O,10,FALSE)
    ),
    VLOOKUP(B72,'REKAP APAR FT MAOS'!B:J,11,FALSE)
)</f>
        <v>#REF!</v>
      </c>
      <c r="M72" s="29" t="e">
        <f ca="1">IFERROR(
    IF(VLOOKUP(B72,'SUMBER REKAP APAR'!F:Q,11,FALSE)="",
        VLOOKUP(B72,'REKAP APAR FT MAOS'!B:J,12,FALSE),
        VLOOKUP(B72,'SUMBER REKAP APAR'!F:Q,11,FALSE)
    ),
    VLOOKUP(B72,'REKAP APAR FT MAOS'!B:J,12,FALSE)
)</f>
        <v>#REF!</v>
      </c>
      <c r="N72" s="32">
        <f t="shared" ref="N72:R72" ca="1" si="137">IF(OR($AA$1="",D72=""),"",D72-$AA$1)</f>
        <v>-319</v>
      </c>
      <c r="O72" s="32">
        <f t="shared" ca="1" si="137"/>
        <v>-319</v>
      </c>
      <c r="P72" s="32">
        <f t="shared" ca="1" si="137"/>
        <v>-274</v>
      </c>
      <c r="Q72" s="32">
        <f t="shared" ca="1" si="137"/>
        <v>-274</v>
      </c>
      <c r="R72" s="32">
        <f t="shared" ca="1" si="137"/>
        <v>-46297</v>
      </c>
      <c r="S72" s="195"/>
      <c r="T72" s="33">
        <f t="shared" ref="T72:X72" ca="1" si="138">COUNTIF(N72, "&lt;30")</f>
        <v>1</v>
      </c>
      <c r="U72" s="33">
        <f t="shared" ca="1" si="138"/>
        <v>1</v>
      </c>
      <c r="V72" s="33">
        <f t="shared" ca="1" si="138"/>
        <v>1</v>
      </c>
      <c r="W72" s="33">
        <f t="shared" ca="1" si="138"/>
        <v>1</v>
      </c>
      <c r="X72" s="33">
        <f t="shared" ca="1" si="138"/>
        <v>1</v>
      </c>
      <c r="Y72" s="34">
        <f t="shared" ca="1" si="2"/>
        <v>5</v>
      </c>
    </row>
    <row r="73" spans="1:25" ht="17.399999999999999">
      <c r="A73" s="3">
        <v>70</v>
      </c>
      <c r="B73" s="3" t="s">
        <v>129</v>
      </c>
      <c r="C73" s="22" t="s">
        <v>130</v>
      </c>
      <c r="D73" s="29">
        <f ca="1">IFERROR(
    IF(VLOOKUP(B73,'SUMBER REKAP APAR'!F:O,2,FALSE)="",
        VLOOKUP(B73,'REKAP APAR FT MAOS'!B:J,3,FALSE),
        VLOOKUP(B73,'SUMBER REKAP APAR'!F:O,2,FALSE)
    ),
    VLOOKUP(B73,'REKAP APAR FT MAOS'!B:J,3,FALSE)
)</f>
        <v>46292</v>
      </c>
      <c r="E73" s="29">
        <f ca="1">IFERROR(
    IF(VLOOKUP(B73,'SUMBER REKAP APAR'!F:O,3,FALSE)="",
        VLOOKUP(B73,'REKAP APAR FT MAOS'!B:J,4,FALSE),
        VLOOKUP(B73,'SUMBER REKAP APAR'!F:O,3,FALSE)
    ),
    VLOOKUP(B73,'REKAP APAR FT MAOS'!B:J,4,FALSE)
)</f>
        <v>46292</v>
      </c>
      <c r="F73" s="29">
        <f ca="1">IFERROR(
    IF(VLOOKUP(B73,'SUMBER REKAP APAR'!F:O,4,FALSE)="",
        VLOOKUP(B73,'REKAP APAR FT MAOS'!B:J,5,FALSE),
        VLOOKUP(B73,'SUMBER REKAP APAR'!F:O,4,FALSE)
    ),
    VLOOKUP(B73,'REKAP APAR FT MAOS'!B:J,5,FALSE)
)</f>
        <v>46292</v>
      </c>
      <c r="G73" s="29">
        <f ca="1">IFERROR(
    IF(VLOOKUP(B73,'SUMBER REKAP APAR'!F:O,5,FALSE)="",
        VLOOKUP(B73,'REKAP APAR FT MAOS'!B:J,6,FALSE),
        VLOOKUP(B73,'SUMBER REKAP APAR'!F:O,5,FALSE)
    ),
    VLOOKUP(B73,'REKAP APAR FT MAOS'!B:J,6,FALSE)
)</f>
        <v>0</v>
      </c>
      <c r="H73" s="29">
        <f ca="1">IFERROR(
    IF(VLOOKUP(B73,'SUMBER REKAP APAR'!F:O,6,FALSE)="",
        VLOOKUP(B73,'REKAP APAR FT MAOS'!B:J,7,FALSE),
        VLOOKUP(B73,'SUMBER REKAP APAR'!F:O,6,FALSE)
    ),
    VLOOKUP(B73,'REKAP APAR FT MAOS'!B:J,7,FALSE)
)</f>
        <v>0</v>
      </c>
      <c r="I73" s="29">
        <f ca="1">IFERROR(
    IF(VLOOKUP(B73,'SUMBER REKAP APAR'!F:O,7,FALSE)="",
        VLOOKUP(B73,'REKAP APAR FT MAOS'!B:J,8,FALSE),
        VLOOKUP(B73,'SUMBER REKAP APAR'!F:O,7,FALSE)
    ),
    VLOOKUP(B73,'REKAP APAR FT MAOS'!B:J,8,FALSE)
)</f>
        <v>0</v>
      </c>
      <c r="J73" s="29">
        <f ca="1">IFERROR(
    IF(VLOOKUP(B73,'SUMBER REKAP APAR'!F:O,8,FALSE)="",
        VLOOKUP(B73,'REKAP APAR FT MAOS'!B:J,9,FALSE),
        VLOOKUP(B73,'SUMBER REKAP APAR'!F:O,8,FALSE)
    ),
    VLOOKUP(B73,'REKAP APAR FT MAOS'!B:J,9,FALSE)
)</f>
        <v>46292</v>
      </c>
      <c r="K73" s="29" t="e">
        <f ca="1">IFERROR(
    IF(VLOOKUP(B73,'SUMBER REKAP APAR'!F:O,9,FALSE)="",
        VLOOKUP(B73,'REKAP APAR FT MAOS'!B:J,10,FALSE),
        VLOOKUP(B73,'SUMBER REKAP APAR'!F:O,9,FALSE)
    ),
    VLOOKUP(B73,'REKAP APAR FT MAOS'!B:J,10,FALSE)
)</f>
        <v>#REF!</v>
      </c>
      <c r="L73" s="29" t="e">
        <f ca="1">IFERROR(
    IF(VLOOKUP(B73,'SUMBER REKAP APAR'!F:O,10,FALSE)="",
        VLOOKUP(B73,'REKAP APAR FT MAOS'!B:J,11,FALSE),
        VLOOKUP(B73,'SUMBER REKAP APAR'!F:O,10,FALSE)
    ),
    VLOOKUP(B73,'REKAP APAR FT MAOS'!B:J,11,FALSE)
)</f>
        <v>#REF!</v>
      </c>
      <c r="M73" s="29" t="e">
        <f ca="1">IFERROR(
    IF(VLOOKUP(B73,'SUMBER REKAP APAR'!F:Q,11,FALSE)="",
        VLOOKUP(B73,'REKAP APAR FT MAOS'!B:J,12,FALSE),
        VLOOKUP(B73,'SUMBER REKAP APAR'!F:Q,11,FALSE)
    ),
    VLOOKUP(B73,'REKAP APAR FT MAOS'!B:J,12,FALSE)
)</f>
        <v>#REF!</v>
      </c>
      <c r="N73" s="32">
        <f t="shared" ref="N73:R73" ca="1" si="139">IF(OR($AA$1="",D73=""),"",D73-$AA$1)</f>
        <v>-5</v>
      </c>
      <c r="O73" s="32">
        <f t="shared" ca="1" si="139"/>
        <v>-5</v>
      </c>
      <c r="P73" s="32">
        <f t="shared" ca="1" si="139"/>
        <v>-5</v>
      </c>
      <c r="Q73" s="32">
        <f t="shared" ca="1" si="139"/>
        <v>-46297</v>
      </c>
      <c r="R73" s="32">
        <f t="shared" ca="1" si="139"/>
        <v>-46297</v>
      </c>
      <c r="S73" s="195"/>
      <c r="T73" s="33">
        <f t="shared" ref="T73:X73" ca="1" si="140">COUNTIF(N73, "&lt;30")</f>
        <v>1</v>
      </c>
      <c r="U73" s="33">
        <f t="shared" ca="1" si="140"/>
        <v>1</v>
      </c>
      <c r="V73" s="33">
        <f t="shared" ca="1" si="140"/>
        <v>1</v>
      </c>
      <c r="W73" s="33">
        <f t="shared" ca="1" si="140"/>
        <v>1</v>
      </c>
      <c r="X73" s="33">
        <f t="shared" ca="1" si="140"/>
        <v>1</v>
      </c>
      <c r="Y73" s="34">
        <f t="shared" ca="1" si="2"/>
        <v>5</v>
      </c>
    </row>
    <row r="74" spans="1:25" ht="17.399999999999999">
      <c r="A74" s="3">
        <v>71</v>
      </c>
      <c r="B74" s="3" t="s">
        <v>134</v>
      </c>
      <c r="C74" s="22" t="s">
        <v>135</v>
      </c>
      <c r="D74" s="29">
        <f ca="1">IFERROR(
    IF(VLOOKUP(B74,'SUMBER REKAP APAR'!F:O,2,FALSE)="",
        VLOOKUP(B74,'REKAP APAR FT MAOS'!B:J,3,FALSE),
        VLOOKUP(B74,'SUMBER REKAP APAR'!F:O,2,FALSE)
    ),
    VLOOKUP(B74,'REKAP APAR FT MAOS'!B:J,3,FALSE)
)</f>
        <v>46376</v>
      </c>
      <c r="E74" s="29">
        <f ca="1">IFERROR(
    IF(VLOOKUP(B74,'SUMBER REKAP APAR'!F:O,3,FALSE)="",
        VLOOKUP(B74,'REKAP APAR FT MAOS'!B:J,4,FALSE),
        VLOOKUP(B74,'SUMBER REKAP APAR'!F:O,3,FALSE)
    ),
    VLOOKUP(B74,'REKAP APAR FT MAOS'!B:J,4,FALSE)
)</f>
        <v>46376</v>
      </c>
      <c r="F74" s="29">
        <f ca="1">IFERROR(
    IF(VLOOKUP(B74,'SUMBER REKAP APAR'!F:O,4,FALSE)="",
        VLOOKUP(B74,'REKAP APAR FT MAOS'!B:J,5,FALSE),
        VLOOKUP(B74,'SUMBER REKAP APAR'!F:O,4,FALSE)
    ),
    VLOOKUP(B74,'REKAP APAR FT MAOS'!B:J,5,FALSE)
)</f>
        <v>46446</v>
      </c>
      <c r="G74" s="29">
        <f ca="1">IFERROR(
    IF(VLOOKUP(B74,'SUMBER REKAP APAR'!F:O,5,FALSE)="",
        VLOOKUP(B74,'REKAP APAR FT MAOS'!B:J,6,FALSE),
        VLOOKUP(B74,'SUMBER REKAP APAR'!F:O,5,FALSE)
    ),
    VLOOKUP(B74,'REKAP APAR FT MAOS'!B:J,6,FALSE)
)</f>
        <v>0</v>
      </c>
      <c r="H74" s="29">
        <f ca="1">IFERROR(
    IF(VLOOKUP(B74,'SUMBER REKAP APAR'!F:O,6,FALSE)="",
        VLOOKUP(B74,'REKAP APAR FT MAOS'!B:J,7,FALSE),
        VLOOKUP(B74,'SUMBER REKAP APAR'!F:O,6,FALSE)
    ),
    VLOOKUP(B74,'REKAP APAR FT MAOS'!B:J,7,FALSE)
)</f>
        <v>0</v>
      </c>
      <c r="I74" s="29">
        <f ca="1">IFERROR(
    IF(VLOOKUP(B74,'SUMBER REKAP APAR'!F:O,7,FALSE)="",
        VLOOKUP(B74,'REKAP APAR FT MAOS'!B:J,8,FALSE),
        VLOOKUP(B74,'SUMBER REKAP APAR'!F:O,7,FALSE)
    ),
    VLOOKUP(B74,'REKAP APAR FT MAOS'!B:J,8,FALSE)
)</f>
        <v>0</v>
      </c>
      <c r="J74" s="29">
        <f ca="1">IFERROR(
    IF(VLOOKUP(B74,'SUMBER REKAP APAR'!F:O,8,FALSE)="",
        VLOOKUP(B74,'REKAP APAR FT MAOS'!B:J,9,FALSE),
        VLOOKUP(B74,'SUMBER REKAP APAR'!F:O,8,FALSE)
    ),
    VLOOKUP(B74,'REKAP APAR FT MAOS'!B:J,9,FALSE)
)</f>
        <v>46446</v>
      </c>
      <c r="K74" s="29" t="e">
        <f ca="1">IFERROR(
    IF(VLOOKUP(B74,'SUMBER REKAP APAR'!F:O,9,FALSE)="",
        VLOOKUP(B74,'REKAP APAR FT MAOS'!B:J,10,FALSE),
        VLOOKUP(B74,'SUMBER REKAP APAR'!F:O,9,FALSE)
    ),
    VLOOKUP(B74,'REKAP APAR FT MAOS'!B:J,10,FALSE)
)</f>
        <v>#REF!</v>
      </c>
      <c r="L74" s="29" t="e">
        <f ca="1">IFERROR(
    IF(VLOOKUP(B74,'SUMBER REKAP APAR'!F:O,10,FALSE)="",
        VLOOKUP(B74,'REKAP APAR FT MAOS'!B:J,11,FALSE),
        VLOOKUP(B74,'SUMBER REKAP APAR'!F:O,10,FALSE)
    ),
    VLOOKUP(B74,'REKAP APAR FT MAOS'!B:J,11,FALSE)
)</f>
        <v>#REF!</v>
      </c>
      <c r="M74" s="29" t="e">
        <f ca="1">IFERROR(
    IF(VLOOKUP(B74,'SUMBER REKAP APAR'!F:Q,11,FALSE)="",
        VLOOKUP(B74,'REKAP APAR FT MAOS'!B:J,12,FALSE),
        VLOOKUP(B74,'SUMBER REKAP APAR'!F:Q,11,FALSE)
    ),
    VLOOKUP(B74,'REKAP APAR FT MAOS'!B:J,12,FALSE)
)</f>
        <v>#REF!</v>
      </c>
      <c r="N74" s="32">
        <f t="shared" ref="N74:R74" ca="1" si="141">IF(OR($AA$1="",D74=""),"",D74-$AA$1)</f>
        <v>79</v>
      </c>
      <c r="O74" s="32">
        <f t="shared" ca="1" si="141"/>
        <v>79</v>
      </c>
      <c r="P74" s="32">
        <f t="shared" ca="1" si="141"/>
        <v>149</v>
      </c>
      <c r="Q74" s="32">
        <f t="shared" ca="1" si="141"/>
        <v>-46297</v>
      </c>
      <c r="R74" s="32">
        <f t="shared" ca="1" si="141"/>
        <v>-46297</v>
      </c>
      <c r="S74" s="195"/>
      <c r="T74" s="33">
        <f t="shared" ref="T74:X74" ca="1" si="142">COUNTIF(N74, "&lt;30")</f>
        <v>0</v>
      </c>
      <c r="U74" s="33">
        <f t="shared" ca="1" si="142"/>
        <v>0</v>
      </c>
      <c r="V74" s="33">
        <f t="shared" ca="1" si="142"/>
        <v>0</v>
      </c>
      <c r="W74" s="33">
        <f t="shared" ca="1" si="142"/>
        <v>1</v>
      </c>
      <c r="X74" s="33">
        <f t="shared" ca="1" si="142"/>
        <v>1</v>
      </c>
      <c r="Y74" s="34">
        <f t="shared" ca="1" si="2"/>
        <v>2</v>
      </c>
    </row>
    <row r="75" spans="1:25" ht="17.399999999999999">
      <c r="A75" s="3">
        <v>72</v>
      </c>
      <c r="B75" s="3" t="s">
        <v>139</v>
      </c>
      <c r="C75" s="22" t="s">
        <v>133</v>
      </c>
      <c r="D75" s="29">
        <f ca="1">IFERROR(
    IF(VLOOKUP(B75,'SUMBER REKAP APAR'!F:O,2,FALSE)="",
        VLOOKUP(B75,'REKAP APAR FT MAOS'!B:J,3,FALSE),
        VLOOKUP(B75,'SUMBER REKAP APAR'!F:O,2,FALSE)
    ),
    VLOOKUP(B75,'REKAP APAR FT MAOS'!B:J,3,FALSE)
)</f>
        <v>46283</v>
      </c>
      <c r="E75" s="29">
        <f ca="1">IFERROR(
    IF(VLOOKUP(B75,'SUMBER REKAP APAR'!F:O,3,FALSE)="",
        VLOOKUP(B75,'REKAP APAR FT MAOS'!B:J,4,FALSE),
        VLOOKUP(B75,'SUMBER REKAP APAR'!F:O,3,FALSE)
    ),
    VLOOKUP(B75,'REKAP APAR FT MAOS'!B:J,4,FALSE)
)</f>
        <v>46283</v>
      </c>
      <c r="F75" s="29">
        <f ca="1">IFERROR(
    IF(VLOOKUP(B75,'SUMBER REKAP APAR'!F:O,4,FALSE)="",
        VLOOKUP(B75,'REKAP APAR FT MAOS'!B:J,5,FALSE),
        VLOOKUP(B75,'SUMBER REKAP APAR'!F:O,4,FALSE)
    ),
    VLOOKUP(B75,'REKAP APAR FT MAOS'!B:J,5,FALSE)
)</f>
        <v>46352</v>
      </c>
      <c r="G75" s="29">
        <f ca="1">IFERROR(
    IF(VLOOKUP(B75,'SUMBER REKAP APAR'!F:O,5,FALSE)="",
        VLOOKUP(B75,'REKAP APAR FT MAOS'!B:J,6,FALSE),
        VLOOKUP(B75,'SUMBER REKAP APAR'!F:O,5,FALSE)
    ),
    VLOOKUP(B75,'REKAP APAR FT MAOS'!B:J,6,FALSE)
)</f>
        <v>0</v>
      </c>
      <c r="H75" s="29">
        <f ca="1">IFERROR(
    IF(VLOOKUP(B75,'SUMBER REKAP APAR'!F:O,6,FALSE)="",
        VLOOKUP(B75,'REKAP APAR FT MAOS'!B:J,7,FALSE),
        VLOOKUP(B75,'SUMBER REKAP APAR'!F:O,6,FALSE)
    ),
    VLOOKUP(B75,'REKAP APAR FT MAOS'!B:J,7,FALSE)
)</f>
        <v>0</v>
      </c>
      <c r="I75" s="29">
        <f ca="1">IFERROR(
    IF(VLOOKUP(B75,'SUMBER REKAP APAR'!F:O,7,FALSE)="",
        VLOOKUP(B75,'REKAP APAR FT MAOS'!B:J,8,FALSE),
        VLOOKUP(B75,'SUMBER REKAP APAR'!F:O,7,FALSE)
    ),
    VLOOKUP(B75,'REKAP APAR FT MAOS'!B:J,8,FALSE)
)</f>
        <v>0</v>
      </c>
      <c r="J75" s="29">
        <f ca="1">IFERROR(
    IF(VLOOKUP(B75,'SUMBER REKAP APAR'!F:O,8,FALSE)="",
        VLOOKUP(B75,'REKAP APAR FT MAOS'!B:J,9,FALSE),
        VLOOKUP(B75,'SUMBER REKAP APAR'!F:O,8,FALSE)
    ),
    VLOOKUP(B75,'REKAP APAR FT MAOS'!B:J,9,FALSE)
)</f>
        <v>46352</v>
      </c>
      <c r="K75" s="29" t="e">
        <f ca="1">IFERROR(
    IF(VLOOKUP(B75,'SUMBER REKAP APAR'!F:O,9,FALSE)="",
        VLOOKUP(B75,'REKAP APAR FT MAOS'!B:J,10,FALSE),
        VLOOKUP(B75,'SUMBER REKAP APAR'!F:O,9,FALSE)
    ),
    VLOOKUP(B75,'REKAP APAR FT MAOS'!B:J,10,FALSE)
)</f>
        <v>#REF!</v>
      </c>
      <c r="L75" s="29" t="e">
        <f ca="1">IFERROR(
    IF(VLOOKUP(B75,'SUMBER REKAP APAR'!F:O,10,FALSE)="",
        VLOOKUP(B75,'REKAP APAR FT MAOS'!B:J,11,FALSE),
        VLOOKUP(B75,'SUMBER REKAP APAR'!F:O,10,FALSE)
    ),
    VLOOKUP(B75,'REKAP APAR FT MAOS'!B:J,11,FALSE)
)</f>
        <v>#REF!</v>
      </c>
      <c r="M75" s="29" t="e">
        <f ca="1">IFERROR(
    IF(VLOOKUP(B75,'SUMBER REKAP APAR'!F:Q,11,FALSE)="",
        VLOOKUP(B75,'REKAP APAR FT MAOS'!B:J,12,FALSE),
        VLOOKUP(B75,'SUMBER REKAP APAR'!F:Q,11,FALSE)
    ),
    VLOOKUP(B75,'REKAP APAR FT MAOS'!B:J,12,FALSE)
)</f>
        <v>#REF!</v>
      </c>
      <c r="N75" s="32">
        <f t="shared" ref="N75:R75" ca="1" si="143">IF(OR($AA$1="",D75=""),"",D75-$AA$1)</f>
        <v>-14</v>
      </c>
      <c r="O75" s="32">
        <f t="shared" ca="1" si="143"/>
        <v>-14</v>
      </c>
      <c r="P75" s="32">
        <f t="shared" ca="1" si="143"/>
        <v>55</v>
      </c>
      <c r="Q75" s="32">
        <f t="shared" ca="1" si="143"/>
        <v>-46297</v>
      </c>
      <c r="R75" s="32">
        <f t="shared" ca="1" si="143"/>
        <v>-46297</v>
      </c>
      <c r="S75" s="195"/>
      <c r="T75" s="33">
        <f t="shared" ref="T75:X75" ca="1" si="144">COUNTIF(N75, "&lt;30")</f>
        <v>1</v>
      </c>
      <c r="U75" s="33">
        <f t="shared" ca="1" si="144"/>
        <v>1</v>
      </c>
      <c r="V75" s="33">
        <f t="shared" ca="1" si="144"/>
        <v>0</v>
      </c>
      <c r="W75" s="33">
        <f t="shared" ca="1" si="144"/>
        <v>1</v>
      </c>
      <c r="X75" s="33">
        <f t="shared" ca="1" si="144"/>
        <v>1</v>
      </c>
      <c r="Y75" s="34">
        <f t="shared" ca="1" si="2"/>
        <v>4</v>
      </c>
    </row>
    <row r="76" spans="1:25" ht="17.399999999999999">
      <c r="A76" s="3">
        <v>73</v>
      </c>
      <c r="B76" s="3" t="s">
        <v>138</v>
      </c>
      <c r="C76" s="22" t="s">
        <v>133</v>
      </c>
      <c r="D76" s="29">
        <f ca="1">IFERROR(
    IF(VLOOKUP(B76,'SUMBER REKAP APAR'!F:O,2,FALSE)="",
        VLOOKUP(B76,'REKAP APAR FT MAOS'!B:J,3,FALSE),
        VLOOKUP(B76,'SUMBER REKAP APAR'!F:O,2,FALSE)
    ),
    VLOOKUP(B76,'REKAP APAR FT MAOS'!B:J,3,FALSE)
)</f>
        <v>46283</v>
      </c>
      <c r="E76" s="29">
        <f ca="1">IFERROR(
    IF(VLOOKUP(B76,'SUMBER REKAP APAR'!F:O,3,FALSE)="",
        VLOOKUP(B76,'REKAP APAR FT MAOS'!B:J,4,FALSE),
        VLOOKUP(B76,'SUMBER REKAP APAR'!F:O,3,FALSE)
    ),
    VLOOKUP(B76,'REKAP APAR FT MAOS'!B:J,4,FALSE)
)</f>
        <v>46283</v>
      </c>
      <c r="F76" s="29">
        <f ca="1">IFERROR(
    IF(VLOOKUP(B76,'SUMBER REKAP APAR'!F:O,4,FALSE)="",
        VLOOKUP(B76,'REKAP APAR FT MAOS'!B:J,5,FALSE),
        VLOOKUP(B76,'SUMBER REKAP APAR'!F:O,4,FALSE)
    ),
    VLOOKUP(B76,'REKAP APAR FT MAOS'!B:J,5,FALSE)
)</f>
        <v>46325</v>
      </c>
      <c r="G76" s="29">
        <f ca="1">IFERROR(
    IF(VLOOKUP(B76,'SUMBER REKAP APAR'!F:O,5,FALSE)="",
        VLOOKUP(B76,'REKAP APAR FT MAOS'!B:J,6,FALSE),
        VLOOKUP(B76,'SUMBER REKAP APAR'!F:O,5,FALSE)
    ),
    VLOOKUP(B76,'REKAP APAR FT MAOS'!B:J,6,FALSE)
)</f>
        <v>0</v>
      </c>
      <c r="H76" s="29">
        <f ca="1">IFERROR(
    IF(VLOOKUP(B76,'SUMBER REKAP APAR'!F:O,6,FALSE)="",
        VLOOKUP(B76,'REKAP APAR FT MAOS'!B:J,7,FALSE),
        VLOOKUP(B76,'SUMBER REKAP APAR'!F:O,6,FALSE)
    ),
    VLOOKUP(B76,'REKAP APAR FT MAOS'!B:J,7,FALSE)
)</f>
        <v>0</v>
      </c>
      <c r="I76" s="29">
        <f ca="1">IFERROR(
    IF(VLOOKUP(B76,'SUMBER REKAP APAR'!F:O,7,FALSE)="",
        VLOOKUP(B76,'REKAP APAR FT MAOS'!B:J,8,FALSE),
        VLOOKUP(B76,'SUMBER REKAP APAR'!F:O,7,FALSE)
    ),
    VLOOKUP(B76,'REKAP APAR FT MAOS'!B:J,8,FALSE)
)</f>
        <v>0</v>
      </c>
      <c r="J76" s="29">
        <f ca="1">IFERROR(
    IF(VLOOKUP(B76,'SUMBER REKAP APAR'!F:O,8,FALSE)="",
        VLOOKUP(B76,'REKAP APAR FT MAOS'!B:J,9,FALSE),
        VLOOKUP(B76,'SUMBER REKAP APAR'!F:O,8,FALSE)
    ),
    VLOOKUP(B76,'REKAP APAR FT MAOS'!B:J,9,FALSE)
)</f>
        <v>46325</v>
      </c>
      <c r="K76" s="29" t="e">
        <f ca="1">IFERROR(
    IF(VLOOKUP(B76,'SUMBER REKAP APAR'!F:O,9,FALSE)="",
        VLOOKUP(B76,'REKAP APAR FT MAOS'!B:J,10,FALSE),
        VLOOKUP(B76,'SUMBER REKAP APAR'!F:O,9,FALSE)
    ),
    VLOOKUP(B76,'REKAP APAR FT MAOS'!B:J,10,FALSE)
)</f>
        <v>#REF!</v>
      </c>
      <c r="L76" s="29" t="e">
        <f ca="1">IFERROR(
    IF(VLOOKUP(B76,'SUMBER REKAP APAR'!F:O,10,FALSE)="",
        VLOOKUP(B76,'REKAP APAR FT MAOS'!B:J,11,FALSE),
        VLOOKUP(B76,'SUMBER REKAP APAR'!F:O,10,FALSE)
    ),
    VLOOKUP(B76,'REKAP APAR FT MAOS'!B:J,11,FALSE)
)</f>
        <v>#REF!</v>
      </c>
      <c r="M76" s="29" t="e">
        <f ca="1">IFERROR(
    IF(VLOOKUP(B76,'SUMBER REKAP APAR'!F:Q,11,FALSE)="",
        VLOOKUP(B76,'REKAP APAR FT MAOS'!B:J,12,FALSE),
        VLOOKUP(B76,'SUMBER REKAP APAR'!F:Q,11,FALSE)
    ),
    VLOOKUP(B76,'REKAP APAR FT MAOS'!B:J,12,FALSE)
)</f>
        <v>#REF!</v>
      </c>
      <c r="N76" s="32">
        <f t="shared" ref="N76:R76" ca="1" si="145">IF(OR($AA$1="",D76=""),"",D76-$AA$1)</f>
        <v>-14</v>
      </c>
      <c r="O76" s="32">
        <f t="shared" ca="1" si="145"/>
        <v>-14</v>
      </c>
      <c r="P76" s="32">
        <f t="shared" ca="1" si="145"/>
        <v>28</v>
      </c>
      <c r="Q76" s="32">
        <f t="shared" ca="1" si="145"/>
        <v>-46297</v>
      </c>
      <c r="R76" s="32">
        <f t="shared" ca="1" si="145"/>
        <v>-46297</v>
      </c>
      <c r="S76" s="195"/>
      <c r="T76" s="33">
        <f t="shared" ref="T76:X76" ca="1" si="146">COUNTIF(N76, "&lt;30")</f>
        <v>1</v>
      </c>
      <c r="U76" s="33">
        <f t="shared" ca="1" si="146"/>
        <v>1</v>
      </c>
      <c r="V76" s="33">
        <f t="shared" ca="1" si="146"/>
        <v>1</v>
      </c>
      <c r="W76" s="33">
        <f t="shared" ca="1" si="146"/>
        <v>1</v>
      </c>
      <c r="X76" s="33">
        <f t="shared" ca="1" si="146"/>
        <v>1</v>
      </c>
      <c r="Y76" s="34">
        <f t="shared" ca="1" si="2"/>
        <v>5</v>
      </c>
    </row>
    <row r="77" spans="1:25" ht="17.399999999999999">
      <c r="A77" s="3">
        <v>74</v>
      </c>
      <c r="B77" s="3" t="s">
        <v>142</v>
      </c>
      <c r="C77" s="22" t="s">
        <v>133</v>
      </c>
      <c r="D77" s="29">
        <f ca="1">IFERROR(
    IF(VLOOKUP(B77,'SUMBER REKAP APAR'!F:O,2,FALSE)="",
        VLOOKUP(B77,'REKAP APAR FT MAOS'!B:J,3,FALSE),
        VLOOKUP(B77,'SUMBER REKAP APAR'!F:O,2,FALSE)
    ),
    VLOOKUP(B77,'REKAP APAR FT MAOS'!B:J,3,FALSE)
)</f>
        <v>46446</v>
      </c>
      <c r="E77" s="29">
        <f ca="1">IFERROR(
    IF(VLOOKUP(B77,'SUMBER REKAP APAR'!F:O,3,FALSE)="",
        VLOOKUP(B77,'REKAP APAR FT MAOS'!B:J,4,FALSE),
        VLOOKUP(B77,'SUMBER REKAP APAR'!F:O,3,FALSE)
    ),
    VLOOKUP(B77,'REKAP APAR FT MAOS'!B:J,4,FALSE)
)</f>
        <v>46446</v>
      </c>
      <c r="F77" s="29">
        <f ca="1">IFERROR(
    IF(VLOOKUP(B77,'SUMBER REKAP APAR'!F:O,4,FALSE)="",
        VLOOKUP(B77,'REKAP APAR FT MAOS'!B:J,5,FALSE),
        VLOOKUP(B77,'SUMBER REKAP APAR'!F:O,4,FALSE)
    ),
    VLOOKUP(B77,'REKAP APAR FT MAOS'!B:J,5,FALSE)
)</f>
        <v>46254</v>
      </c>
      <c r="G77" s="29">
        <f ca="1">IFERROR(
    IF(VLOOKUP(B77,'SUMBER REKAP APAR'!F:O,5,FALSE)="",
        VLOOKUP(B77,'REKAP APAR FT MAOS'!B:J,6,FALSE),
        VLOOKUP(B77,'SUMBER REKAP APAR'!F:O,5,FALSE)
    ),
    VLOOKUP(B77,'REKAP APAR FT MAOS'!B:J,6,FALSE)
)</f>
        <v>0</v>
      </c>
      <c r="H77" s="29">
        <f ca="1">IFERROR(
    IF(VLOOKUP(B77,'SUMBER REKAP APAR'!F:O,6,FALSE)="",
        VLOOKUP(B77,'REKAP APAR FT MAOS'!B:J,7,FALSE),
        VLOOKUP(B77,'SUMBER REKAP APAR'!F:O,6,FALSE)
    ),
    VLOOKUP(B77,'REKAP APAR FT MAOS'!B:J,7,FALSE)
)</f>
        <v>0</v>
      </c>
      <c r="I77" s="29">
        <f ca="1">IFERROR(
    IF(VLOOKUP(B77,'SUMBER REKAP APAR'!F:O,7,FALSE)="",
        VLOOKUP(B77,'REKAP APAR FT MAOS'!B:J,8,FALSE),
        VLOOKUP(B77,'SUMBER REKAP APAR'!F:O,7,FALSE)
    ),
    VLOOKUP(B77,'REKAP APAR FT MAOS'!B:J,8,FALSE)
)</f>
        <v>0</v>
      </c>
      <c r="J77" s="29">
        <f ca="1">IFERROR(
    IF(VLOOKUP(B77,'SUMBER REKAP APAR'!F:O,8,FALSE)="",
        VLOOKUP(B77,'REKAP APAR FT MAOS'!B:J,9,FALSE),
        VLOOKUP(B77,'SUMBER REKAP APAR'!F:O,8,FALSE)
    ),
    VLOOKUP(B77,'REKAP APAR FT MAOS'!B:J,9,FALSE)
)</f>
        <v>46254</v>
      </c>
      <c r="K77" s="29" t="e">
        <f ca="1">IFERROR(
    IF(VLOOKUP(B77,'SUMBER REKAP APAR'!F:O,9,FALSE)="",
        VLOOKUP(B77,'REKAP APAR FT MAOS'!B:J,10,FALSE),
        VLOOKUP(B77,'SUMBER REKAP APAR'!F:O,9,FALSE)
    ),
    VLOOKUP(B77,'REKAP APAR FT MAOS'!B:J,10,FALSE)
)</f>
        <v>#REF!</v>
      </c>
      <c r="L77" s="29" t="e">
        <f ca="1">IFERROR(
    IF(VLOOKUP(B77,'SUMBER REKAP APAR'!F:O,10,FALSE)="",
        VLOOKUP(B77,'REKAP APAR FT MAOS'!B:J,11,FALSE),
        VLOOKUP(B77,'SUMBER REKAP APAR'!F:O,10,FALSE)
    ),
    VLOOKUP(B77,'REKAP APAR FT MAOS'!B:J,11,FALSE)
)</f>
        <v>#REF!</v>
      </c>
      <c r="M77" s="29" t="e">
        <f ca="1">IFERROR(
    IF(VLOOKUP(B77,'SUMBER REKAP APAR'!F:Q,11,FALSE)="",
        VLOOKUP(B77,'REKAP APAR FT MAOS'!B:J,12,FALSE),
        VLOOKUP(B77,'SUMBER REKAP APAR'!F:Q,11,FALSE)
    ),
    VLOOKUP(B77,'REKAP APAR FT MAOS'!B:J,12,FALSE)
)</f>
        <v>#REF!</v>
      </c>
      <c r="N77" s="32">
        <f t="shared" ref="N77:R77" ca="1" si="147">IF(OR($AA$1="",D77=""),"",D77-$AA$1)</f>
        <v>149</v>
      </c>
      <c r="O77" s="32">
        <f t="shared" ca="1" si="147"/>
        <v>149</v>
      </c>
      <c r="P77" s="32">
        <f t="shared" ca="1" si="147"/>
        <v>-43</v>
      </c>
      <c r="Q77" s="32">
        <f t="shared" ca="1" si="147"/>
        <v>-46297</v>
      </c>
      <c r="R77" s="32">
        <f t="shared" ca="1" si="147"/>
        <v>-46297</v>
      </c>
      <c r="S77" s="195"/>
      <c r="T77" s="33">
        <f t="shared" ref="T77:X77" ca="1" si="148">COUNTIF(N77, "&lt;30")</f>
        <v>0</v>
      </c>
      <c r="U77" s="33">
        <f t="shared" ca="1" si="148"/>
        <v>0</v>
      </c>
      <c r="V77" s="33">
        <f t="shared" ca="1" si="148"/>
        <v>1</v>
      </c>
      <c r="W77" s="33">
        <f t="shared" ca="1" si="148"/>
        <v>1</v>
      </c>
      <c r="X77" s="33">
        <f t="shared" ca="1" si="148"/>
        <v>1</v>
      </c>
      <c r="Y77" s="34">
        <f t="shared" ca="1" si="2"/>
        <v>3</v>
      </c>
    </row>
    <row r="78" spans="1:25" ht="17.399999999999999">
      <c r="A78" s="3">
        <v>75</v>
      </c>
      <c r="B78" s="3" t="s">
        <v>143</v>
      </c>
      <c r="C78" s="22" t="s">
        <v>135</v>
      </c>
      <c r="D78" s="29">
        <f ca="1">IFERROR(
    IF(VLOOKUP(B78,'SUMBER REKAP APAR'!F:O,2,FALSE)="",
        VLOOKUP(B78,'REKAP APAR FT MAOS'!B:J,3,FALSE),
        VLOOKUP(B78,'SUMBER REKAP APAR'!F:O,2,FALSE)
    ),
    VLOOKUP(B78,'REKAP APAR FT MAOS'!B:J,3,FALSE)
)</f>
        <v>45991</v>
      </c>
      <c r="E78" s="29">
        <f ca="1">IFERROR(
    IF(VLOOKUP(B78,'SUMBER REKAP APAR'!F:O,3,FALSE)="",
        VLOOKUP(B78,'REKAP APAR FT MAOS'!B:J,4,FALSE),
        VLOOKUP(B78,'SUMBER REKAP APAR'!F:O,3,FALSE)
    ),
    VLOOKUP(B78,'REKAP APAR FT MAOS'!B:J,4,FALSE)
)</f>
        <v>45991</v>
      </c>
      <c r="F78" s="29">
        <f ca="1">IFERROR(
    IF(VLOOKUP(B78,'SUMBER REKAP APAR'!F:O,4,FALSE)="",
        VLOOKUP(B78,'REKAP APAR FT MAOS'!B:J,5,FALSE),
        VLOOKUP(B78,'SUMBER REKAP APAR'!F:O,4,FALSE)
    ),
    VLOOKUP(B78,'REKAP APAR FT MAOS'!B:J,5,FALSE)
)</f>
        <v>46081</v>
      </c>
      <c r="G78" s="29">
        <f ca="1">IFERROR(
    IF(VLOOKUP(B78,'SUMBER REKAP APAR'!F:O,5,FALSE)="",
        VLOOKUP(B78,'REKAP APAR FT MAOS'!B:J,6,FALSE),
        VLOOKUP(B78,'SUMBER REKAP APAR'!F:O,5,FALSE)
    ),
    VLOOKUP(B78,'REKAP APAR FT MAOS'!B:J,6,FALSE)
)</f>
        <v>46081</v>
      </c>
      <c r="H78" s="29">
        <f ca="1">IFERROR(
    IF(VLOOKUP(B78,'SUMBER REKAP APAR'!F:O,6,FALSE)="",
        VLOOKUP(B78,'REKAP APAR FT MAOS'!B:J,7,FALSE),
        VLOOKUP(B78,'SUMBER REKAP APAR'!F:O,6,FALSE)
    ),
    VLOOKUP(B78,'REKAP APAR FT MAOS'!B:J,7,FALSE)
)</f>
        <v>0</v>
      </c>
      <c r="I78" s="29">
        <f ca="1">IFERROR(
    IF(VLOOKUP(B78,'SUMBER REKAP APAR'!F:O,7,FALSE)="",
        VLOOKUP(B78,'REKAP APAR FT MAOS'!B:J,8,FALSE),
        VLOOKUP(B78,'SUMBER REKAP APAR'!F:O,7,FALSE)
    ),
    VLOOKUP(B78,'REKAP APAR FT MAOS'!B:J,8,FALSE)
)</f>
        <v>0</v>
      </c>
      <c r="J78" s="29">
        <f ca="1">IFERROR(
    IF(VLOOKUP(B78,'SUMBER REKAP APAR'!F:O,8,FALSE)="",
        VLOOKUP(B78,'REKAP APAR FT MAOS'!B:J,9,FALSE),
        VLOOKUP(B78,'SUMBER REKAP APAR'!F:O,8,FALSE)
    ),
    VLOOKUP(B78,'REKAP APAR FT MAOS'!B:J,9,FALSE)
)</f>
        <v>46283</v>
      </c>
      <c r="K78" s="29" t="e">
        <f ca="1">IFERROR(
    IF(VLOOKUP(B78,'SUMBER REKAP APAR'!F:O,9,FALSE)="",
        VLOOKUP(B78,'REKAP APAR FT MAOS'!B:J,10,FALSE),
        VLOOKUP(B78,'SUMBER REKAP APAR'!F:O,9,FALSE)
    ),
    VLOOKUP(B78,'REKAP APAR FT MAOS'!B:J,10,FALSE)
)</f>
        <v>#REF!</v>
      </c>
      <c r="L78" s="29" t="e">
        <f ca="1">IFERROR(
    IF(VLOOKUP(B78,'SUMBER REKAP APAR'!F:O,10,FALSE)="",
        VLOOKUP(B78,'REKAP APAR FT MAOS'!B:J,11,FALSE),
        VLOOKUP(B78,'SUMBER REKAP APAR'!F:O,10,FALSE)
    ),
    VLOOKUP(B78,'REKAP APAR FT MAOS'!B:J,11,FALSE)
)</f>
        <v>#REF!</v>
      </c>
      <c r="M78" s="29" t="e">
        <f ca="1">IFERROR(
    IF(VLOOKUP(B78,'SUMBER REKAP APAR'!F:Q,11,FALSE)="",
        VLOOKUP(B78,'REKAP APAR FT MAOS'!B:J,12,FALSE),
        VLOOKUP(B78,'SUMBER REKAP APAR'!F:Q,11,FALSE)
    ),
    VLOOKUP(B78,'REKAP APAR FT MAOS'!B:J,12,FALSE)
)</f>
        <v>#REF!</v>
      </c>
      <c r="N78" s="32">
        <f t="shared" ref="N78:R78" ca="1" si="149">IF(OR($AA$1="",D78=""),"",D78-$AA$1)</f>
        <v>-306</v>
      </c>
      <c r="O78" s="32">
        <f t="shared" ca="1" si="149"/>
        <v>-306</v>
      </c>
      <c r="P78" s="32">
        <f t="shared" ca="1" si="149"/>
        <v>-216</v>
      </c>
      <c r="Q78" s="32">
        <f t="shared" ca="1" si="149"/>
        <v>-216</v>
      </c>
      <c r="R78" s="32">
        <f t="shared" ca="1" si="149"/>
        <v>-46297</v>
      </c>
      <c r="S78" s="195"/>
      <c r="T78" s="33">
        <f t="shared" ref="T78:X78" ca="1" si="150">COUNTIF(N78, "&lt;30")</f>
        <v>1</v>
      </c>
      <c r="U78" s="33">
        <f t="shared" ca="1" si="150"/>
        <v>1</v>
      </c>
      <c r="V78" s="33">
        <f t="shared" ca="1" si="150"/>
        <v>1</v>
      </c>
      <c r="W78" s="33">
        <f t="shared" ca="1" si="150"/>
        <v>1</v>
      </c>
      <c r="X78" s="33">
        <f t="shared" ca="1" si="150"/>
        <v>1</v>
      </c>
      <c r="Y78" s="34">
        <f t="shared" ca="1" si="2"/>
        <v>5</v>
      </c>
    </row>
    <row r="79" spans="1:25" ht="17.399999999999999">
      <c r="A79" s="3">
        <v>76</v>
      </c>
      <c r="B79" s="3" t="s">
        <v>140</v>
      </c>
      <c r="C79" s="22" t="s">
        <v>133</v>
      </c>
      <c r="D79" s="29">
        <f ca="1">IFERROR(
    IF(VLOOKUP(B79,'SUMBER REKAP APAR'!F:O,2,FALSE)="",
        VLOOKUP(B79,'REKAP APAR FT MAOS'!B:J,3,FALSE),
        VLOOKUP(B79,'SUMBER REKAP APAR'!F:O,2,FALSE)
    ),
    VLOOKUP(B79,'REKAP APAR FT MAOS'!B:J,3,FALSE)
)</f>
        <v>46446</v>
      </c>
      <c r="E79" s="29">
        <f ca="1">IFERROR(
    IF(VLOOKUP(B79,'SUMBER REKAP APAR'!F:O,3,FALSE)="",
        VLOOKUP(B79,'REKAP APAR FT MAOS'!B:J,4,FALSE),
        VLOOKUP(B79,'SUMBER REKAP APAR'!F:O,3,FALSE)
    ),
    VLOOKUP(B79,'REKAP APAR FT MAOS'!B:J,4,FALSE)
)</f>
        <v>46446</v>
      </c>
      <c r="F79" s="29">
        <f ca="1">IFERROR(
    IF(VLOOKUP(B79,'SUMBER REKAP APAR'!F:O,4,FALSE)="",
        VLOOKUP(B79,'REKAP APAR FT MAOS'!B:J,5,FALSE),
        VLOOKUP(B79,'SUMBER REKAP APAR'!F:O,4,FALSE)
    ),
    VLOOKUP(B79,'REKAP APAR FT MAOS'!B:J,5,FALSE)
)</f>
        <v>46376</v>
      </c>
      <c r="G79" s="29">
        <f ca="1">IFERROR(
    IF(VLOOKUP(B79,'SUMBER REKAP APAR'!F:O,5,FALSE)="",
        VLOOKUP(B79,'REKAP APAR FT MAOS'!B:J,6,FALSE),
        VLOOKUP(B79,'SUMBER REKAP APAR'!F:O,5,FALSE)
    ),
    VLOOKUP(B79,'REKAP APAR FT MAOS'!B:J,6,FALSE)
)</f>
        <v>0</v>
      </c>
      <c r="H79" s="29">
        <f ca="1">IFERROR(
    IF(VLOOKUP(B79,'SUMBER REKAP APAR'!F:O,6,FALSE)="",
        VLOOKUP(B79,'REKAP APAR FT MAOS'!B:J,7,FALSE),
        VLOOKUP(B79,'SUMBER REKAP APAR'!F:O,6,FALSE)
    ),
    VLOOKUP(B79,'REKAP APAR FT MAOS'!B:J,7,FALSE)
)</f>
        <v>0</v>
      </c>
      <c r="I79" s="29">
        <f ca="1">IFERROR(
    IF(VLOOKUP(B79,'SUMBER REKAP APAR'!F:O,7,FALSE)="",
        VLOOKUP(B79,'REKAP APAR FT MAOS'!B:J,8,FALSE),
        VLOOKUP(B79,'SUMBER REKAP APAR'!F:O,7,FALSE)
    ),
    VLOOKUP(B79,'REKAP APAR FT MAOS'!B:J,8,FALSE)
)</f>
        <v>0</v>
      </c>
      <c r="J79" s="29">
        <f ca="1">IFERROR(
    IF(VLOOKUP(B79,'SUMBER REKAP APAR'!F:O,8,FALSE)="",
        VLOOKUP(B79,'REKAP APAR FT MAOS'!B:J,9,FALSE),
        VLOOKUP(B79,'SUMBER REKAP APAR'!F:O,8,FALSE)
    ),
    VLOOKUP(B79,'REKAP APAR FT MAOS'!B:J,9,FALSE)
)</f>
        <v>46446</v>
      </c>
      <c r="K79" s="29" t="e">
        <f ca="1">IFERROR(
    IF(VLOOKUP(B79,'SUMBER REKAP APAR'!F:O,9,FALSE)="",
        VLOOKUP(B79,'REKAP APAR FT MAOS'!B:J,10,FALSE),
        VLOOKUP(B79,'SUMBER REKAP APAR'!F:O,9,FALSE)
    ),
    VLOOKUP(B79,'REKAP APAR FT MAOS'!B:J,10,FALSE)
)</f>
        <v>#REF!</v>
      </c>
      <c r="L79" s="29" t="e">
        <f ca="1">IFERROR(
    IF(VLOOKUP(B79,'SUMBER REKAP APAR'!F:O,10,FALSE)="",
        VLOOKUP(B79,'REKAP APAR FT MAOS'!B:J,11,FALSE),
        VLOOKUP(B79,'SUMBER REKAP APAR'!F:O,10,FALSE)
    ),
    VLOOKUP(B79,'REKAP APAR FT MAOS'!B:J,11,FALSE)
)</f>
        <v>#REF!</v>
      </c>
      <c r="M79" s="29" t="e">
        <f ca="1">IFERROR(
    IF(VLOOKUP(B79,'SUMBER REKAP APAR'!F:Q,11,FALSE)="",
        VLOOKUP(B79,'REKAP APAR FT MAOS'!B:J,12,FALSE),
        VLOOKUP(B79,'SUMBER REKAP APAR'!F:Q,11,FALSE)
    ),
    VLOOKUP(B79,'REKAP APAR FT MAOS'!B:J,12,FALSE)
)</f>
        <v>#REF!</v>
      </c>
      <c r="N79" s="32">
        <f t="shared" ref="N79:R79" ca="1" si="151">IF(OR($AA$1="",D79=""),"",D79-$AA$1)</f>
        <v>149</v>
      </c>
      <c r="O79" s="32">
        <f t="shared" ca="1" si="151"/>
        <v>149</v>
      </c>
      <c r="P79" s="32">
        <f t="shared" ca="1" si="151"/>
        <v>79</v>
      </c>
      <c r="Q79" s="32">
        <f t="shared" ca="1" si="151"/>
        <v>-46297</v>
      </c>
      <c r="R79" s="32">
        <f t="shared" ca="1" si="151"/>
        <v>-46297</v>
      </c>
      <c r="S79" s="195"/>
      <c r="T79" s="33">
        <f t="shared" ref="T79:X79" ca="1" si="152">COUNTIF(N79, "&lt;30")</f>
        <v>0</v>
      </c>
      <c r="U79" s="33">
        <f t="shared" ca="1" si="152"/>
        <v>0</v>
      </c>
      <c r="V79" s="33">
        <f t="shared" ca="1" si="152"/>
        <v>0</v>
      </c>
      <c r="W79" s="33">
        <f t="shared" ca="1" si="152"/>
        <v>1</v>
      </c>
      <c r="X79" s="33">
        <f t="shared" ca="1" si="152"/>
        <v>1</v>
      </c>
      <c r="Y79" s="34">
        <f t="shared" ca="1" si="2"/>
        <v>2</v>
      </c>
    </row>
    <row r="80" spans="1:25" ht="17.399999999999999">
      <c r="A80" s="3">
        <v>77</v>
      </c>
      <c r="B80" s="3" t="s">
        <v>132</v>
      </c>
      <c r="C80" s="22" t="s">
        <v>133</v>
      </c>
      <c r="D80" s="29">
        <f ca="1">IFERROR(
    IF(VLOOKUP(B80,'SUMBER REKAP APAR'!F:O,2,FALSE)="",
        VLOOKUP(B80,'REKAP APAR FT MAOS'!B:J,3,FALSE),
        VLOOKUP(B80,'SUMBER REKAP APAR'!F:O,2,FALSE)
    ),
    VLOOKUP(B80,'REKAP APAR FT MAOS'!B:J,3,FALSE)
)</f>
        <v>46446</v>
      </c>
      <c r="E80" s="29">
        <f ca="1">IFERROR(
    IF(VLOOKUP(B80,'SUMBER REKAP APAR'!F:O,3,FALSE)="",
        VLOOKUP(B80,'REKAP APAR FT MAOS'!B:J,4,FALSE),
        VLOOKUP(B80,'SUMBER REKAP APAR'!F:O,3,FALSE)
    ),
    VLOOKUP(B80,'REKAP APAR FT MAOS'!B:J,4,FALSE)
)</f>
        <v>46446</v>
      </c>
      <c r="F80" s="29">
        <f ca="1">IFERROR(
    IF(VLOOKUP(B80,'SUMBER REKAP APAR'!F:O,4,FALSE)="",
        VLOOKUP(B80,'REKAP APAR FT MAOS'!B:J,5,FALSE),
        VLOOKUP(B80,'SUMBER REKAP APAR'!F:O,4,FALSE)
    ),
    VLOOKUP(B80,'REKAP APAR FT MAOS'!B:J,5,FALSE)
)</f>
        <v>46446</v>
      </c>
      <c r="G80" s="29">
        <f ca="1">IFERROR(
    IF(VLOOKUP(B80,'SUMBER REKAP APAR'!F:O,5,FALSE)="",
        VLOOKUP(B80,'REKAP APAR FT MAOS'!B:J,6,FALSE),
        VLOOKUP(B80,'SUMBER REKAP APAR'!F:O,5,FALSE)
    ),
    VLOOKUP(B80,'REKAP APAR FT MAOS'!B:J,6,FALSE)
)</f>
        <v>0</v>
      </c>
      <c r="H80" s="29">
        <f ca="1">IFERROR(
    IF(VLOOKUP(B80,'SUMBER REKAP APAR'!F:O,6,FALSE)="",
        VLOOKUP(B80,'REKAP APAR FT MAOS'!B:J,7,FALSE),
        VLOOKUP(B80,'SUMBER REKAP APAR'!F:O,6,FALSE)
    ),
    VLOOKUP(B80,'REKAP APAR FT MAOS'!B:J,7,FALSE)
)</f>
        <v>0</v>
      </c>
      <c r="I80" s="29">
        <f ca="1">IFERROR(
    IF(VLOOKUP(B80,'SUMBER REKAP APAR'!F:O,7,FALSE)="",
        VLOOKUP(B80,'REKAP APAR FT MAOS'!B:J,8,FALSE),
        VLOOKUP(B80,'SUMBER REKAP APAR'!F:O,7,FALSE)
    ),
    VLOOKUP(B80,'REKAP APAR FT MAOS'!B:J,8,FALSE)
)</f>
        <v>0</v>
      </c>
      <c r="J80" s="29">
        <f ca="1">IFERROR(
    IF(VLOOKUP(B80,'SUMBER REKAP APAR'!F:O,8,FALSE)="",
        VLOOKUP(B80,'REKAP APAR FT MAOS'!B:J,9,FALSE),
        VLOOKUP(B80,'SUMBER REKAP APAR'!F:O,8,FALSE)
    ),
    VLOOKUP(B80,'REKAP APAR FT MAOS'!B:J,9,FALSE)
)</f>
        <v>46446</v>
      </c>
      <c r="K80" s="29" t="e">
        <f ca="1">IFERROR(
    IF(VLOOKUP(B80,'SUMBER REKAP APAR'!F:O,9,FALSE)="",
        VLOOKUP(B80,'REKAP APAR FT MAOS'!B:J,10,FALSE),
        VLOOKUP(B80,'SUMBER REKAP APAR'!F:O,9,FALSE)
    ),
    VLOOKUP(B80,'REKAP APAR FT MAOS'!B:J,10,FALSE)
)</f>
        <v>#REF!</v>
      </c>
      <c r="L80" s="29" t="e">
        <f ca="1">IFERROR(
    IF(VLOOKUP(B80,'SUMBER REKAP APAR'!F:O,10,FALSE)="",
        VLOOKUP(B80,'REKAP APAR FT MAOS'!B:J,11,FALSE),
        VLOOKUP(B80,'SUMBER REKAP APAR'!F:O,10,FALSE)
    ),
    VLOOKUP(B80,'REKAP APAR FT MAOS'!B:J,11,FALSE)
)</f>
        <v>#REF!</v>
      </c>
      <c r="M80" s="29" t="e">
        <f ca="1">IFERROR(
    IF(VLOOKUP(B80,'SUMBER REKAP APAR'!F:Q,11,FALSE)="",
        VLOOKUP(B80,'REKAP APAR FT MAOS'!B:J,12,FALSE),
        VLOOKUP(B80,'SUMBER REKAP APAR'!F:Q,11,FALSE)
    ),
    VLOOKUP(B80,'REKAP APAR FT MAOS'!B:J,12,FALSE)
)</f>
        <v>#REF!</v>
      </c>
      <c r="N80" s="32">
        <f t="shared" ref="N80:R80" ca="1" si="153">IF(OR($AA$1="",D80=""),"",D80-$AA$1)</f>
        <v>149</v>
      </c>
      <c r="O80" s="32">
        <f t="shared" ca="1" si="153"/>
        <v>149</v>
      </c>
      <c r="P80" s="32">
        <f t="shared" ca="1" si="153"/>
        <v>149</v>
      </c>
      <c r="Q80" s="32">
        <f t="shared" ca="1" si="153"/>
        <v>-46297</v>
      </c>
      <c r="R80" s="32">
        <f t="shared" ca="1" si="153"/>
        <v>-46297</v>
      </c>
      <c r="S80" s="195"/>
      <c r="T80" s="33">
        <f t="shared" ref="T80:X80" ca="1" si="154">COUNTIF(N80, "&lt;30")</f>
        <v>0</v>
      </c>
      <c r="U80" s="33">
        <f t="shared" ca="1" si="154"/>
        <v>0</v>
      </c>
      <c r="V80" s="33">
        <f t="shared" ca="1" si="154"/>
        <v>0</v>
      </c>
      <c r="W80" s="33">
        <f t="shared" ca="1" si="154"/>
        <v>1</v>
      </c>
      <c r="X80" s="33">
        <f t="shared" ca="1" si="154"/>
        <v>1</v>
      </c>
      <c r="Y80" s="34">
        <f t="shared" ca="1" si="2"/>
        <v>2</v>
      </c>
    </row>
    <row r="81" spans="1:25" ht="17.399999999999999">
      <c r="A81" s="3">
        <v>78</v>
      </c>
      <c r="B81" s="3" t="s">
        <v>113</v>
      </c>
      <c r="C81" s="22" t="s">
        <v>112</v>
      </c>
      <c r="D81" s="29">
        <f ca="1">IFERROR(
    IF(VLOOKUP(B81,'SUMBER REKAP APAR'!F:O,2,FALSE)="",
        VLOOKUP(B81,'REKAP APAR FT MAOS'!B:J,3,FALSE),
        VLOOKUP(B81,'SUMBER REKAP APAR'!F:O,2,FALSE)
    ),
    VLOOKUP(B81,'REKAP APAR FT MAOS'!B:J,3,FALSE)
)</f>
        <v>46283</v>
      </c>
      <c r="E81" s="29">
        <f ca="1">IFERROR(
    IF(VLOOKUP(B81,'SUMBER REKAP APAR'!F:O,3,FALSE)="",
        VLOOKUP(B81,'REKAP APAR FT MAOS'!B:J,4,FALSE),
        VLOOKUP(B81,'SUMBER REKAP APAR'!F:O,3,FALSE)
    ),
    VLOOKUP(B81,'REKAP APAR FT MAOS'!B:J,4,FALSE)
)</f>
        <v>46283</v>
      </c>
      <c r="F81" s="29">
        <f ca="1">IFERROR(
    IF(VLOOKUP(B81,'SUMBER REKAP APAR'!F:O,4,FALSE)="",
        VLOOKUP(B81,'REKAP APAR FT MAOS'!B:J,5,FALSE),
        VLOOKUP(B81,'SUMBER REKAP APAR'!F:O,4,FALSE)
    ),
    VLOOKUP(B81,'REKAP APAR FT MAOS'!B:J,5,FALSE)
)</f>
        <v>46376</v>
      </c>
      <c r="G81" s="29">
        <f ca="1">IFERROR(
    IF(VLOOKUP(B81,'SUMBER REKAP APAR'!F:O,5,FALSE)="",
        VLOOKUP(B81,'REKAP APAR FT MAOS'!B:J,6,FALSE),
        VLOOKUP(B81,'SUMBER REKAP APAR'!F:O,5,FALSE)
    ),
    VLOOKUP(B81,'REKAP APAR FT MAOS'!B:J,6,FALSE)
)</f>
        <v>0</v>
      </c>
      <c r="H81" s="29">
        <f ca="1">IFERROR(
    IF(VLOOKUP(B81,'SUMBER REKAP APAR'!F:O,6,FALSE)="",
        VLOOKUP(B81,'REKAP APAR FT MAOS'!B:J,7,FALSE),
        VLOOKUP(B81,'SUMBER REKAP APAR'!F:O,6,FALSE)
    ),
    VLOOKUP(B81,'REKAP APAR FT MAOS'!B:J,7,FALSE)
)</f>
        <v>0</v>
      </c>
      <c r="I81" s="29">
        <f ca="1">IFERROR(
    IF(VLOOKUP(B81,'SUMBER REKAP APAR'!F:O,7,FALSE)="",
        VLOOKUP(B81,'REKAP APAR FT MAOS'!B:J,8,FALSE),
        VLOOKUP(B81,'SUMBER REKAP APAR'!F:O,7,FALSE)
    ),
    VLOOKUP(B81,'REKAP APAR FT MAOS'!B:J,8,FALSE)
)</f>
        <v>0</v>
      </c>
      <c r="J81" s="29">
        <f ca="1">IFERROR(
    IF(VLOOKUP(B81,'SUMBER REKAP APAR'!F:O,8,FALSE)="",
        VLOOKUP(B81,'REKAP APAR FT MAOS'!B:J,9,FALSE),
        VLOOKUP(B81,'SUMBER REKAP APAR'!F:O,8,FALSE)
    ),
    VLOOKUP(B81,'REKAP APAR FT MAOS'!B:J,9,FALSE)
)</f>
        <v>46446</v>
      </c>
      <c r="K81" s="29" t="e">
        <f ca="1">IFERROR(
    IF(VLOOKUP(B81,'SUMBER REKAP APAR'!F:O,9,FALSE)="",
        VLOOKUP(B81,'REKAP APAR FT MAOS'!B:J,10,FALSE),
        VLOOKUP(B81,'SUMBER REKAP APAR'!F:O,9,FALSE)
    ),
    VLOOKUP(B81,'REKAP APAR FT MAOS'!B:J,10,FALSE)
)</f>
        <v>#REF!</v>
      </c>
      <c r="L81" s="29" t="e">
        <f ca="1">IFERROR(
    IF(VLOOKUP(B81,'SUMBER REKAP APAR'!F:O,10,FALSE)="",
        VLOOKUP(B81,'REKAP APAR FT MAOS'!B:J,11,FALSE),
        VLOOKUP(B81,'SUMBER REKAP APAR'!F:O,10,FALSE)
    ),
    VLOOKUP(B81,'REKAP APAR FT MAOS'!B:J,11,FALSE)
)</f>
        <v>#REF!</v>
      </c>
      <c r="M81" s="29" t="e">
        <f ca="1">IFERROR(
    IF(VLOOKUP(B81,'SUMBER REKAP APAR'!F:Q,11,FALSE)="",
        VLOOKUP(B81,'REKAP APAR FT MAOS'!B:J,12,FALSE),
        VLOOKUP(B81,'SUMBER REKAP APAR'!F:Q,11,FALSE)
    ),
    VLOOKUP(B81,'REKAP APAR FT MAOS'!B:J,12,FALSE)
)</f>
        <v>#REF!</v>
      </c>
      <c r="N81" s="32">
        <f t="shared" ref="N81:R81" ca="1" si="155">IF(OR($AA$1="",D81=""),"",D81-$AA$1)</f>
        <v>-14</v>
      </c>
      <c r="O81" s="32">
        <f t="shared" ca="1" si="155"/>
        <v>-14</v>
      </c>
      <c r="P81" s="32">
        <f t="shared" ca="1" si="155"/>
        <v>79</v>
      </c>
      <c r="Q81" s="32">
        <f t="shared" ca="1" si="155"/>
        <v>-46297</v>
      </c>
      <c r="R81" s="32">
        <f t="shared" ca="1" si="155"/>
        <v>-46297</v>
      </c>
      <c r="S81" s="182"/>
      <c r="T81" s="33">
        <f t="shared" ref="T81:X81" ca="1" si="156">COUNTIF(N81, "&lt;30")</f>
        <v>1</v>
      </c>
      <c r="U81" s="33">
        <f t="shared" ca="1" si="156"/>
        <v>1</v>
      </c>
      <c r="V81" s="33">
        <f t="shared" ca="1" si="156"/>
        <v>0</v>
      </c>
      <c r="W81" s="33">
        <f t="shared" ca="1" si="156"/>
        <v>1</v>
      </c>
      <c r="X81" s="33">
        <f t="shared" ca="1" si="156"/>
        <v>1</v>
      </c>
      <c r="Y81" s="34">
        <f t="shared" ca="1" si="2"/>
        <v>4</v>
      </c>
    </row>
    <row r="82" spans="1:25" ht="17.399999999999999">
      <c r="A82" s="3">
        <v>79</v>
      </c>
      <c r="B82" s="3" t="s">
        <v>111</v>
      </c>
      <c r="C82" s="22" t="s">
        <v>112</v>
      </c>
      <c r="D82" s="29">
        <f ca="1">IFERROR(
    IF(VLOOKUP(B82,'SUMBER REKAP APAR'!F:O,2,FALSE)="",
        VLOOKUP(B82,'REKAP APAR FT MAOS'!B:J,3,FALSE),
        VLOOKUP(B82,'SUMBER REKAP APAR'!F:O,2,FALSE)
    ),
    VLOOKUP(B82,'REKAP APAR FT MAOS'!B:J,3,FALSE)
)</f>
        <v>46254</v>
      </c>
      <c r="E82" s="29">
        <f ca="1">IFERROR(
    IF(VLOOKUP(B82,'SUMBER REKAP APAR'!F:O,3,FALSE)="",
        VLOOKUP(B82,'REKAP APAR FT MAOS'!B:J,4,FALSE),
        VLOOKUP(B82,'SUMBER REKAP APAR'!F:O,3,FALSE)
    ),
    VLOOKUP(B82,'REKAP APAR FT MAOS'!B:J,4,FALSE)
)</f>
        <v>46254</v>
      </c>
      <c r="F82" s="29">
        <f ca="1">IFERROR(
    IF(VLOOKUP(B82,'SUMBER REKAP APAR'!F:O,4,FALSE)="",
        VLOOKUP(B82,'REKAP APAR FT MAOS'!B:J,5,FALSE),
        VLOOKUP(B82,'SUMBER REKAP APAR'!F:O,4,FALSE)
    ),
    VLOOKUP(B82,'REKAP APAR FT MAOS'!B:J,5,FALSE)
)</f>
        <v>46352</v>
      </c>
      <c r="G82" s="29">
        <f ca="1">IFERROR(
    IF(VLOOKUP(B82,'SUMBER REKAP APAR'!F:O,5,FALSE)="",
        VLOOKUP(B82,'REKAP APAR FT MAOS'!B:J,6,FALSE),
        VLOOKUP(B82,'SUMBER REKAP APAR'!F:O,5,FALSE)
    ),
    VLOOKUP(B82,'REKAP APAR FT MAOS'!B:J,6,FALSE)
)</f>
        <v>0</v>
      </c>
      <c r="H82" s="29">
        <f ca="1">IFERROR(
    IF(VLOOKUP(B82,'SUMBER REKAP APAR'!F:O,6,FALSE)="",
        VLOOKUP(B82,'REKAP APAR FT MAOS'!B:J,7,FALSE),
        VLOOKUP(B82,'SUMBER REKAP APAR'!F:O,6,FALSE)
    ),
    VLOOKUP(B82,'REKAP APAR FT MAOS'!B:J,7,FALSE)
)</f>
        <v>0</v>
      </c>
      <c r="I82" s="29">
        <f ca="1">IFERROR(
    IF(VLOOKUP(B82,'SUMBER REKAP APAR'!F:O,7,FALSE)="",
        VLOOKUP(B82,'REKAP APAR FT MAOS'!B:J,8,FALSE),
        VLOOKUP(B82,'SUMBER REKAP APAR'!F:O,7,FALSE)
    ),
    VLOOKUP(B82,'REKAP APAR FT MAOS'!B:J,8,FALSE)
)</f>
        <v>0</v>
      </c>
      <c r="J82" s="29">
        <f ca="1">IFERROR(
    IF(VLOOKUP(B82,'SUMBER REKAP APAR'!F:O,8,FALSE)="",
        VLOOKUP(B82,'REKAP APAR FT MAOS'!B:J,9,FALSE),
        VLOOKUP(B82,'SUMBER REKAP APAR'!F:O,8,FALSE)
    ),
    VLOOKUP(B82,'REKAP APAR FT MAOS'!B:J,9,FALSE)
)</f>
        <v>46352</v>
      </c>
      <c r="K82" s="29" t="e">
        <f ca="1">IFERROR(
    IF(VLOOKUP(B82,'SUMBER REKAP APAR'!F:O,9,FALSE)="",
        VLOOKUP(B82,'REKAP APAR FT MAOS'!B:J,10,FALSE),
        VLOOKUP(B82,'SUMBER REKAP APAR'!F:O,9,FALSE)
    ),
    VLOOKUP(B82,'REKAP APAR FT MAOS'!B:J,10,FALSE)
)</f>
        <v>#REF!</v>
      </c>
      <c r="L82" s="29" t="e">
        <f ca="1">IFERROR(
    IF(VLOOKUP(B82,'SUMBER REKAP APAR'!F:O,10,FALSE)="",
        VLOOKUP(B82,'REKAP APAR FT MAOS'!B:J,11,FALSE),
        VLOOKUP(B82,'SUMBER REKAP APAR'!F:O,10,FALSE)
    ),
    VLOOKUP(B82,'REKAP APAR FT MAOS'!B:J,11,FALSE)
)</f>
        <v>#REF!</v>
      </c>
      <c r="M82" s="29" t="e">
        <f ca="1">IFERROR(
    IF(VLOOKUP(B82,'SUMBER REKAP APAR'!F:Q,11,FALSE)="",
        VLOOKUP(B82,'REKAP APAR FT MAOS'!B:J,12,FALSE),
        VLOOKUP(B82,'SUMBER REKAP APAR'!F:Q,11,FALSE)
    ),
    VLOOKUP(B82,'REKAP APAR FT MAOS'!B:J,12,FALSE)
)</f>
        <v>#REF!</v>
      </c>
      <c r="N82" s="32">
        <f t="shared" ref="N82:R82" ca="1" si="157">IF(OR($AA$1="",D82=""),"",D82-$AA$1)</f>
        <v>-43</v>
      </c>
      <c r="O82" s="32">
        <f t="shared" ca="1" si="157"/>
        <v>-43</v>
      </c>
      <c r="P82" s="32">
        <f t="shared" ca="1" si="157"/>
        <v>55</v>
      </c>
      <c r="Q82" s="32">
        <f t="shared" ca="1" si="157"/>
        <v>-46297</v>
      </c>
      <c r="R82" s="32">
        <f t="shared" ca="1" si="157"/>
        <v>-46297</v>
      </c>
      <c r="T82" s="33">
        <f t="shared" ref="T82:X82" ca="1" si="158">COUNTIF(N82, "&lt;30")</f>
        <v>1</v>
      </c>
      <c r="U82" s="33">
        <f t="shared" ca="1" si="158"/>
        <v>1</v>
      </c>
      <c r="V82" s="33">
        <f t="shared" ca="1" si="158"/>
        <v>0</v>
      </c>
      <c r="W82" s="33">
        <f t="shared" ca="1" si="158"/>
        <v>1</v>
      </c>
      <c r="X82" s="33">
        <f t="shared" ca="1" si="158"/>
        <v>1</v>
      </c>
      <c r="Y82" s="34">
        <f t="shared" ca="1" si="2"/>
        <v>4</v>
      </c>
    </row>
    <row r="83" spans="1:25" ht="17.399999999999999">
      <c r="A83" s="3">
        <v>80</v>
      </c>
      <c r="B83" s="3" t="s">
        <v>114</v>
      </c>
      <c r="C83" s="22" t="s">
        <v>112</v>
      </c>
      <c r="D83" s="29">
        <f ca="1">IFERROR(
    IF(VLOOKUP(B83,'SUMBER REKAP APAR'!F:O,2,FALSE)="",
        VLOOKUP(B83,'REKAP APAR FT MAOS'!B:J,3,FALSE),
        VLOOKUP(B83,'SUMBER REKAP APAR'!F:O,2,FALSE)
    ),
    VLOOKUP(B83,'REKAP APAR FT MAOS'!B:J,3,FALSE)
)</f>
        <v>46446</v>
      </c>
      <c r="E83" s="29">
        <f ca="1">IFERROR(
    IF(VLOOKUP(B83,'SUMBER REKAP APAR'!F:O,3,FALSE)="",
        VLOOKUP(B83,'REKAP APAR FT MAOS'!B:J,4,FALSE),
        VLOOKUP(B83,'SUMBER REKAP APAR'!F:O,3,FALSE)
    ),
    VLOOKUP(B83,'REKAP APAR FT MAOS'!B:J,4,FALSE)
)</f>
        <v>46446</v>
      </c>
      <c r="F83" s="29">
        <f ca="1">IFERROR(
    IF(VLOOKUP(B83,'SUMBER REKAP APAR'!F:O,4,FALSE)="",
        VLOOKUP(B83,'REKAP APAR FT MAOS'!B:J,5,FALSE),
        VLOOKUP(B83,'SUMBER REKAP APAR'!F:O,4,FALSE)
    ),
    VLOOKUP(B83,'REKAP APAR FT MAOS'!B:J,5,FALSE)
)</f>
        <v>46229</v>
      </c>
      <c r="G83" s="29">
        <f ca="1">IFERROR(
    IF(VLOOKUP(B83,'SUMBER REKAP APAR'!F:O,5,FALSE)="",
        VLOOKUP(B83,'REKAP APAR FT MAOS'!B:J,6,FALSE),
        VLOOKUP(B83,'SUMBER REKAP APAR'!F:O,5,FALSE)
    ),
    VLOOKUP(B83,'REKAP APAR FT MAOS'!B:J,6,FALSE)
)</f>
        <v>0</v>
      </c>
      <c r="H83" s="29" t="str">
        <f ca="1">IFERROR(
    IF(VLOOKUP(B83,'SUMBER REKAP APAR'!F:O,6,FALSE)="",
        VLOOKUP(B83,'REKAP APAR FT MAOS'!B:J,7,FALSE),
        VLOOKUP(B83,'SUMBER REKAP APAR'!F:O,6,FALSE)
    ),
    VLOOKUP(B83,'REKAP APAR FT MAOS'!B:J,7,FALSE)
)</f>
        <v>FOAM RUSAK 1T</v>
      </c>
      <c r="I83" s="29">
        <f ca="1">IFERROR(
    IF(VLOOKUP(B83,'SUMBER REKAP APAR'!F:O,7,FALSE)="",
        VLOOKUP(B83,'REKAP APAR FT MAOS'!B:J,8,FALSE),
        VLOOKUP(B83,'SUMBER REKAP APAR'!F:O,7,FALSE)
    ),
    VLOOKUP(B83,'REKAP APAR FT MAOS'!B:J,8,FALSE)
)</f>
        <v>0</v>
      </c>
      <c r="J83" s="29">
        <f ca="1">IFERROR(
    IF(VLOOKUP(B83,'SUMBER REKAP APAR'!F:O,8,FALSE)="",
        VLOOKUP(B83,'REKAP APAR FT MAOS'!B:J,9,FALSE),
        VLOOKUP(B83,'SUMBER REKAP APAR'!F:O,8,FALSE)
    ),
    VLOOKUP(B83,'REKAP APAR FT MAOS'!B:J,9,FALSE)
)</f>
        <v>46229</v>
      </c>
      <c r="K83" s="29" t="e">
        <f ca="1">IFERROR(
    IF(VLOOKUP(B83,'SUMBER REKAP APAR'!F:O,9,FALSE)="",
        VLOOKUP(B83,'REKAP APAR FT MAOS'!B:J,10,FALSE),
        VLOOKUP(B83,'SUMBER REKAP APAR'!F:O,9,FALSE)
    ),
    VLOOKUP(B83,'REKAP APAR FT MAOS'!B:J,10,FALSE)
)</f>
        <v>#REF!</v>
      </c>
      <c r="L83" s="29" t="e">
        <f ca="1">IFERROR(
    IF(VLOOKUP(B83,'SUMBER REKAP APAR'!F:O,10,FALSE)="",
        VLOOKUP(B83,'REKAP APAR FT MAOS'!B:J,11,FALSE),
        VLOOKUP(B83,'SUMBER REKAP APAR'!F:O,10,FALSE)
    ),
    VLOOKUP(B83,'REKAP APAR FT MAOS'!B:J,11,FALSE)
)</f>
        <v>#REF!</v>
      </c>
      <c r="M83" s="29" t="e">
        <f ca="1">IFERROR(
    IF(VLOOKUP(B83,'SUMBER REKAP APAR'!F:Q,11,FALSE)="",
        VLOOKUP(B83,'REKAP APAR FT MAOS'!B:J,12,FALSE),
        VLOOKUP(B83,'SUMBER REKAP APAR'!F:Q,11,FALSE)
    ),
    VLOOKUP(B83,'REKAP APAR FT MAOS'!B:J,12,FALSE)
)</f>
        <v>#REF!</v>
      </c>
      <c r="N83" s="32">
        <f t="shared" ref="N83:R83" ca="1" si="159">IF(OR($AA$1="",D83=""),"",D83-$AA$1)</f>
        <v>149</v>
      </c>
      <c r="O83" s="32">
        <f t="shared" ca="1" si="159"/>
        <v>149</v>
      </c>
      <c r="P83" s="32">
        <f t="shared" ca="1" si="159"/>
        <v>-68</v>
      </c>
      <c r="Q83" s="32">
        <f t="shared" ca="1" si="159"/>
        <v>-46297</v>
      </c>
      <c r="R83" s="32" t="e">
        <f t="shared" ca="1" si="159"/>
        <v>#VALUE!</v>
      </c>
      <c r="T83" s="33">
        <f t="shared" ref="T83:X83" ca="1" si="160">COUNTIF(N83, "&lt;30")</f>
        <v>0</v>
      </c>
      <c r="U83" s="33">
        <f t="shared" ca="1" si="160"/>
        <v>0</v>
      </c>
      <c r="V83" s="33">
        <f t="shared" ca="1" si="160"/>
        <v>1</v>
      </c>
      <c r="W83" s="33">
        <f t="shared" ca="1" si="160"/>
        <v>1</v>
      </c>
      <c r="X83" s="33">
        <f t="shared" ca="1" si="160"/>
        <v>0</v>
      </c>
      <c r="Y83" s="34">
        <f t="shared" ca="1" si="2"/>
        <v>2</v>
      </c>
    </row>
    <row r="84" spans="1:25" ht="17.399999999999999">
      <c r="A84" s="3">
        <v>81</v>
      </c>
      <c r="B84" s="3" t="s">
        <v>42</v>
      </c>
      <c r="C84" s="22" t="s">
        <v>215</v>
      </c>
      <c r="D84" s="29">
        <f ca="1">IFERROR(
    IF(VLOOKUP(B84,'SUMBER REKAP APAR'!F:O,2,FALSE)="",
        VLOOKUP(B84,'REKAP APAR FT MAOS'!B:J,3,FALSE),
        VLOOKUP(B84,'SUMBER REKAP APAR'!F:O,2,FALSE)
    ),
    VLOOKUP(B84,'REKAP APAR FT MAOS'!B:J,3,FALSE)
)</f>
        <v>46283</v>
      </c>
      <c r="E84" s="29">
        <f ca="1">IFERROR(
    IF(VLOOKUP(B84,'SUMBER REKAP APAR'!F:O,3,FALSE)="",
        VLOOKUP(B84,'REKAP APAR FT MAOS'!B:J,4,FALSE),
        VLOOKUP(B84,'SUMBER REKAP APAR'!F:O,3,FALSE)
    ),
    VLOOKUP(B84,'REKAP APAR FT MAOS'!B:J,4,FALSE)
)</f>
        <v>46283</v>
      </c>
      <c r="F84" s="29">
        <f ca="1">IFERROR(
    IF(VLOOKUP(B84,'SUMBER REKAP APAR'!F:O,4,FALSE)="",
        VLOOKUP(B84,'REKAP APAR FT MAOS'!B:J,5,FALSE),
        VLOOKUP(B84,'SUMBER REKAP APAR'!F:O,4,FALSE)
    ),
    VLOOKUP(B84,'REKAP APAR FT MAOS'!B:J,5,FALSE)
)</f>
        <v>0</v>
      </c>
      <c r="G84" s="29">
        <f ca="1">IFERROR(
    IF(VLOOKUP(B84,'SUMBER REKAP APAR'!F:O,5,FALSE)="",
        VLOOKUP(B84,'REKAP APAR FT MAOS'!B:J,6,FALSE),
        VLOOKUP(B84,'SUMBER REKAP APAR'!F:O,5,FALSE)
    ),
    VLOOKUP(B84,'REKAP APAR FT MAOS'!B:J,6,FALSE)
)</f>
        <v>45972</v>
      </c>
      <c r="H84" s="29">
        <f ca="1">IFERROR(
    IF(VLOOKUP(B84,'SUMBER REKAP APAR'!F:O,6,FALSE)="",
        VLOOKUP(B84,'REKAP APAR FT MAOS'!B:J,7,FALSE),
        VLOOKUP(B84,'SUMBER REKAP APAR'!F:O,6,FALSE)
    ),
    VLOOKUP(B84,'REKAP APAR FT MAOS'!B:J,7,FALSE)
)</f>
        <v>46376</v>
      </c>
      <c r="I84" s="29">
        <f ca="1">IFERROR(
    IF(VLOOKUP(B84,'SUMBER REKAP APAR'!F:O,7,FALSE)="",
        VLOOKUP(B84,'REKAP APAR FT MAOS'!B:J,8,FALSE),
        VLOOKUP(B84,'SUMBER REKAP APAR'!F:O,7,FALSE)
    ),
    VLOOKUP(B84,'REKAP APAR FT MAOS'!B:J,8,FALSE)
)</f>
        <v>0</v>
      </c>
      <c r="J84" s="29">
        <f ca="1">IFERROR(
    IF(VLOOKUP(B84,'SUMBER REKAP APAR'!F:O,8,FALSE)="",
        VLOOKUP(B84,'REKAP APAR FT MAOS'!B:J,9,FALSE),
        VLOOKUP(B84,'SUMBER REKAP APAR'!F:O,8,FALSE)
    ),
    VLOOKUP(B84,'REKAP APAR FT MAOS'!B:J,9,FALSE)
)</f>
        <v>46292</v>
      </c>
      <c r="K84" s="29">
        <f ca="1">IFERROR(
    IF(VLOOKUP(B84,'SUMBER REKAP APAR'!F:O,9,FALSE)="",
        VLOOKUP(B84,'REKAP APAR FT MAOS'!B:J,10,FALSE),
        VLOOKUP(B84,'SUMBER REKAP APAR'!F:O,9,FALSE)
    ),
    VLOOKUP(B84,'REKAP APAR FT MAOS'!B:J,10,FALSE)
)</f>
        <v>46055</v>
      </c>
      <c r="L84" s="29" t="e">
        <f ca="1">IFERROR(
    IF(VLOOKUP(B84,'SUMBER REKAP APAR'!F:O,10,FALSE)="",
        VLOOKUP(B84,'REKAP APAR FT MAOS'!B:J,11,FALSE),
        VLOOKUP(B84,'SUMBER REKAP APAR'!F:O,10,FALSE)
    ),
    VLOOKUP(B84,'REKAP APAR FT MAOS'!B:J,11,FALSE)
)</f>
        <v>#REF!</v>
      </c>
      <c r="M84" s="29" t="e">
        <f ca="1">IFERROR(
    IF(VLOOKUP(B84,'SUMBER REKAP APAR'!F:Q,11,FALSE)="",
        VLOOKUP(B84,'REKAP APAR FT MAOS'!B:J,12,FALSE),
        VLOOKUP(B84,'SUMBER REKAP APAR'!F:Q,11,FALSE)
    ),
    VLOOKUP(B84,'REKAP APAR FT MAOS'!B:J,12,FALSE)
)</f>
        <v>#REF!</v>
      </c>
      <c r="N84" s="32">
        <f t="shared" ref="N84:R84" ca="1" si="161">IF(OR($AA$1="",D84=""),"",D84-$AA$1)</f>
        <v>-14</v>
      </c>
      <c r="O84" s="32">
        <f t="shared" ca="1" si="161"/>
        <v>-14</v>
      </c>
      <c r="P84" s="32">
        <f t="shared" ca="1" si="161"/>
        <v>-46297</v>
      </c>
      <c r="Q84" s="32">
        <f t="shared" ca="1" si="161"/>
        <v>-325</v>
      </c>
      <c r="R84" s="32">
        <f t="shared" ca="1" si="161"/>
        <v>79</v>
      </c>
      <c r="T84" s="33">
        <f t="shared" ref="T84:X84" ca="1" si="162">COUNTIF(N84, "&lt;30")</f>
        <v>1</v>
      </c>
      <c r="U84" s="33">
        <f t="shared" ca="1" si="162"/>
        <v>1</v>
      </c>
      <c r="V84" s="33">
        <f t="shared" ca="1" si="162"/>
        <v>1</v>
      </c>
      <c r="W84" s="33">
        <f t="shared" ca="1" si="162"/>
        <v>1</v>
      </c>
      <c r="X84" s="33">
        <f t="shared" ca="1" si="162"/>
        <v>0</v>
      </c>
      <c r="Y84" s="34">
        <f t="shared" ca="1" si="2"/>
        <v>4</v>
      </c>
    </row>
    <row r="85" spans="1:25" ht="17.399999999999999">
      <c r="A85" s="3">
        <v>82</v>
      </c>
      <c r="B85" s="3" t="s">
        <v>44</v>
      </c>
      <c r="C85" s="22" t="s">
        <v>218</v>
      </c>
      <c r="D85" s="29">
        <f ca="1">IFERROR(
    IF(VLOOKUP(B85,'SUMBER REKAP APAR'!F:O,2,FALSE)="",
        VLOOKUP(B85,'REKAP APAR FT MAOS'!B:J,3,FALSE),
        VLOOKUP(B85,'SUMBER REKAP APAR'!F:O,2,FALSE)
    ),
    VLOOKUP(B85,'REKAP APAR FT MAOS'!B:J,3,FALSE)
)</f>
        <v>46292</v>
      </c>
      <c r="E85" s="29">
        <f ca="1">IFERROR(
    IF(VLOOKUP(B85,'SUMBER REKAP APAR'!F:O,3,FALSE)="",
        VLOOKUP(B85,'REKAP APAR FT MAOS'!B:J,4,FALSE),
        VLOOKUP(B85,'SUMBER REKAP APAR'!F:O,3,FALSE)
    ),
    VLOOKUP(B85,'REKAP APAR FT MAOS'!B:J,4,FALSE)
)</f>
        <v>46292</v>
      </c>
      <c r="F85" s="29">
        <f ca="1">IFERROR(
    IF(VLOOKUP(B85,'SUMBER REKAP APAR'!F:O,4,FALSE)="",
        VLOOKUP(B85,'REKAP APAR FT MAOS'!B:J,5,FALSE),
        VLOOKUP(B85,'SUMBER REKAP APAR'!F:O,4,FALSE)
    ),
    VLOOKUP(B85,'REKAP APAR FT MAOS'!B:J,5,FALSE)
)</f>
        <v>0</v>
      </c>
      <c r="G85" s="29">
        <f ca="1">IFERROR(
    IF(VLOOKUP(B85,'SUMBER REKAP APAR'!F:O,5,FALSE)="",
        VLOOKUP(B85,'REKAP APAR FT MAOS'!B:J,6,FALSE),
        VLOOKUP(B85,'SUMBER REKAP APAR'!F:O,5,FALSE)
    ),
    VLOOKUP(B85,'REKAP APAR FT MAOS'!B:J,6,FALSE)
)</f>
        <v>46111</v>
      </c>
      <c r="H85" s="29">
        <f ca="1">IFERROR(
    IF(VLOOKUP(B85,'SUMBER REKAP APAR'!F:O,6,FALSE)="",
        VLOOKUP(B85,'REKAP APAR FT MAOS'!B:J,7,FALSE),
        VLOOKUP(B85,'SUMBER REKAP APAR'!F:O,6,FALSE)
    ),
    VLOOKUP(B85,'REKAP APAR FT MAOS'!B:J,7,FALSE)
)</f>
        <v>46254</v>
      </c>
      <c r="I85" s="29">
        <f ca="1">IFERROR(
    IF(VLOOKUP(B85,'SUMBER REKAP APAR'!F:O,7,FALSE)="",
        VLOOKUP(B85,'REKAP APAR FT MAOS'!B:J,8,FALSE),
        VLOOKUP(B85,'SUMBER REKAP APAR'!F:O,7,FALSE)
    ),
    VLOOKUP(B85,'REKAP APAR FT MAOS'!B:J,8,FALSE)
)</f>
        <v>0</v>
      </c>
      <c r="J85" s="29">
        <f ca="1">IFERROR(
    IF(VLOOKUP(B85,'SUMBER REKAP APAR'!F:O,8,FALSE)="",
        VLOOKUP(B85,'REKAP APAR FT MAOS'!B:J,9,FALSE),
        VLOOKUP(B85,'SUMBER REKAP APAR'!F:O,8,FALSE)
    ),
    VLOOKUP(B85,'REKAP APAR FT MAOS'!B:J,9,FALSE)
)</f>
        <v>46325</v>
      </c>
      <c r="K85" s="29" t="e">
        <f ca="1">IFERROR(
    IF(VLOOKUP(B85,'SUMBER REKAP APAR'!F:O,9,FALSE)="",
        VLOOKUP(B85,'REKAP APAR FT MAOS'!B:J,10,FALSE),
        VLOOKUP(B85,'SUMBER REKAP APAR'!F:O,9,FALSE)
    ),
    VLOOKUP(B85,'REKAP APAR FT MAOS'!B:J,10,FALSE)
)</f>
        <v>#REF!</v>
      </c>
      <c r="L85" s="29" t="e">
        <f ca="1">IFERROR(
    IF(VLOOKUP(B85,'SUMBER REKAP APAR'!F:O,10,FALSE)="",
        VLOOKUP(B85,'REKAP APAR FT MAOS'!B:J,11,FALSE),
        VLOOKUP(B85,'SUMBER REKAP APAR'!F:O,10,FALSE)
    ),
    VLOOKUP(B85,'REKAP APAR FT MAOS'!B:J,11,FALSE)
)</f>
        <v>#REF!</v>
      </c>
      <c r="M85" s="29" t="e">
        <f ca="1">IFERROR(
    IF(VLOOKUP(B85,'SUMBER REKAP APAR'!F:Q,11,FALSE)="",
        VLOOKUP(B85,'REKAP APAR FT MAOS'!B:J,12,FALSE),
        VLOOKUP(B85,'SUMBER REKAP APAR'!F:Q,11,FALSE)
    ),
    VLOOKUP(B85,'REKAP APAR FT MAOS'!B:J,12,FALSE)
)</f>
        <v>#REF!</v>
      </c>
      <c r="N85" s="32">
        <f t="shared" ref="N85:R85" ca="1" si="163">IF(OR($AA$1="",D85=""),"",D85-$AA$1)</f>
        <v>-5</v>
      </c>
      <c r="O85" s="32">
        <f t="shared" ca="1" si="163"/>
        <v>-5</v>
      </c>
      <c r="P85" s="32">
        <f t="shared" ca="1" si="163"/>
        <v>-46297</v>
      </c>
      <c r="Q85" s="32">
        <f t="shared" ca="1" si="163"/>
        <v>-186</v>
      </c>
      <c r="R85" s="32">
        <f t="shared" ca="1" si="163"/>
        <v>-43</v>
      </c>
      <c r="T85" s="33">
        <f t="shared" ref="T85:X85" ca="1" si="164">COUNTIF(N85, "&lt;30")</f>
        <v>1</v>
      </c>
      <c r="U85" s="33">
        <f t="shared" ca="1" si="164"/>
        <v>1</v>
      </c>
      <c r="V85" s="33">
        <f t="shared" ca="1" si="164"/>
        <v>1</v>
      </c>
      <c r="W85" s="33">
        <f t="shared" ca="1" si="164"/>
        <v>1</v>
      </c>
      <c r="X85" s="33">
        <f t="shared" ca="1" si="164"/>
        <v>1</v>
      </c>
      <c r="Y85" s="34">
        <f t="shared" ca="1" si="2"/>
        <v>5</v>
      </c>
    </row>
    <row r="86" spans="1:25" ht="17.399999999999999">
      <c r="A86" s="3">
        <v>83</v>
      </c>
      <c r="B86" s="3" t="s">
        <v>116</v>
      </c>
      <c r="C86" s="22" t="s">
        <v>117</v>
      </c>
      <c r="D86" s="29">
        <f ca="1">IFERROR(
    IF(VLOOKUP(B86,'SUMBER REKAP APAR'!F:O,2,FALSE)="",
        VLOOKUP(B86,'REKAP APAR FT MAOS'!B:J,3,FALSE),
        VLOOKUP(B86,'SUMBER REKAP APAR'!F:O,2,FALSE)
    ),
    VLOOKUP(B86,'REKAP APAR FT MAOS'!B:J,3,FALSE)
)</f>
        <v>46325</v>
      </c>
      <c r="E86" s="29">
        <f ca="1">IFERROR(
    IF(VLOOKUP(B86,'SUMBER REKAP APAR'!F:O,3,FALSE)="",
        VLOOKUP(B86,'REKAP APAR FT MAOS'!B:J,4,FALSE),
        VLOOKUP(B86,'SUMBER REKAP APAR'!F:O,3,FALSE)
    ),
    VLOOKUP(B86,'REKAP APAR FT MAOS'!B:J,4,FALSE)
)</f>
        <v>46325</v>
      </c>
      <c r="F86" s="29">
        <f ca="1">IFERROR(
    IF(VLOOKUP(B86,'SUMBER REKAP APAR'!F:O,4,FALSE)="",
        VLOOKUP(B86,'REKAP APAR FT MAOS'!B:J,5,FALSE),
        VLOOKUP(B86,'SUMBER REKAP APAR'!F:O,4,FALSE)
    ),
    VLOOKUP(B86,'REKAP APAR FT MAOS'!B:J,5,FALSE)
)</f>
        <v>46111</v>
      </c>
      <c r="G86" s="29">
        <f ca="1">IFERROR(
    IF(VLOOKUP(B86,'SUMBER REKAP APAR'!F:O,5,FALSE)="",
        VLOOKUP(B86,'REKAP APAR FT MAOS'!B:J,6,FALSE),
        VLOOKUP(B86,'SUMBER REKAP APAR'!F:O,5,FALSE)
    ),
    VLOOKUP(B86,'REKAP APAR FT MAOS'!B:J,6,FALSE)
)</f>
        <v>46111</v>
      </c>
      <c r="H86" s="29">
        <f ca="1">IFERROR(
    IF(VLOOKUP(B86,'SUMBER REKAP APAR'!F:O,6,FALSE)="",
        VLOOKUP(B86,'REKAP APAR FT MAOS'!B:J,7,FALSE),
        VLOOKUP(B86,'SUMBER REKAP APAR'!F:O,6,FALSE)
    ),
    VLOOKUP(B86,'REKAP APAR FT MAOS'!B:J,7,FALSE)
)</f>
        <v>46325</v>
      </c>
      <c r="I86" s="29">
        <f ca="1">IFERROR(
    IF(VLOOKUP(B86,'SUMBER REKAP APAR'!F:O,7,FALSE)="",
        VLOOKUP(B86,'REKAP APAR FT MAOS'!B:J,8,FALSE),
        VLOOKUP(B86,'SUMBER REKAP APAR'!F:O,7,FALSE)
    ),
    VLOOKUP(B86,'REKAP APAR FT MAOS'!B:J,8,FALSE)
)</f>
        <v>0</v>
      </c>
      <c r="J86" s="29">
        <f ca="1">IFERROR(
    IF(VLOOKUP(B86,'SUMBER REKAP APAR'!F:O,8,FALSE)="",
        VLOOKUP(B86,'REKAP APAR FT MAOS'!B:J,9,FALSE),
        VLOOKUP(B86,'SUMBER REKAP APAR'!F:O,8,FALSE)
    ),
    VLOOKUP(B86,'REKAP APAR FT MAOS'!B:J,9,FALSE)
)</f>
        <v>46325</v>
      </c>
      <c r="K86" s="29" t="e">
        <f ca="1">IFERROR(
    IF(VLOOKUP(B86,'SUMBER REKAP APAR'!F:O,9,FALSE)="",
        VLOOKUP(B86,'REKAP APAR FT MAOS'!B:J,10,FALSE),
        VLOOKUP(B86,'SUMBER REKAP APAR'!F:O,9,FALSE)
    ),
    VLOOKUP(B86,'REKAP APAR FT MAOS'!B:J,10,FALSE)
)</f>
        <v>#REF!</v>
      </c>
      <c r="L86" s="29" t="e">
        <f ca="1">IFERROR(
    IF(VLOOKUP(B86,'SUMBER REKAP APAR'!F:O,10,FALSE)="",
        VLOOKUP(B86,'REKAP APAR FT MAOS'!B:J,11,FALSE),
        VLOOKUP(B86,'SUMBER REKAP APAR'!F:O,10,FALSE)
    ),
    VLOOKUP(B86,'REKAP APAR FT MAOS'!B:J,11,FALSE)
)</f>
        <v>#REF!</v>
      </c>
      <c r="M86" s="29" t="e">
        <f ca="1">IFERROR(
    IF(VLOOKUP(B86,'SUMBER REKAP APAR'!F:Q,11,FALSE)="",
        VLOOKUP(B86,'REKAP APAR FT MAOS'!B:J,12,FALSE),
        VLOOKUP(B86,'SUMBER REKAP APAR'!F:Q,11,FALSE)
    ),
    VLOOKUP(B86,'REKAP APAR FT MAOS'!B:J,12,FALSE)
)</f>
        <v>#REF!</v>
      </c>
      <c r="N86" s="32">
        <f t="shared" ref="N86:R86" ca="1" si="165">IF(OR($AA$1="",D86=""),"",D86-$AA$1)</f>
        <v>28</v>
      </c>
      <c r="O86" s="32">
        <f t="shared" ca="1" si="165"/>
        <v>28</v>
      </c>
      <c r="P86" s="32">
        <f t="shared" ca="1" si="165"/>
        <v>-186</v>
      </c>
      <c r="Q86" s="32">
        <f t="shared" ca="1" si="165"/>
        <v>-186</v>
      </c>
      <c r="R86" s="32">
        <f t="shared" ca="1" si="165"/>
        <v>28</v>
      </c>
      <c r="T86" s="33">
        <f t="shared" ref="T86:X86" ca="1" si="166">COUNTIF(N86, "&lt;30")</f>
        <v>1</v>
      </c>
      <c r="U86" s="33">
        <f t="shared" ca="1" si="166"/>
        <v>1</v>
      </c>
      <c r="V86" s="33">
        <f t="shared" ca="1" si="166"/>
        <v>1</v>
      </c>
      <c r="W86" s="33">
        <f t="shared" ca="1" si="166"/>
        <v>1</v>
      </c>
      <c r="X86" s="33">
        <f t="shared" ca="1" si="166"/>
        <v>1</v>
      </c>
      <c r="Y86" s="34">
        <f t="shared" ca="1" si="2"/>
        <v>5</v>
      </c>
    </row>
    <row r="87" spans="1:25" ht="17.399999999999999">
      <c r="A87" s="3">
        <v>84</v>
      </c>
      <c r="B87" s="3" t="s">
        <v>161</v>
      </c>
      <c r="C87" s="22" t="s">
        <v>61</v>
      </c>
      <c r="D87" s="29">
        <f ca="1">IFERROR(
    IF(VLOOKUP(B87,'SUMBER REKAP APAR'!F:O,2,FALSE)="",
        VLOOKUP(B87,'REKAP APAR FT MAOS'!B:J,3,FALSE),
        VLOOKUP(B87,'SUMBER REKAP APAR'!F:O,2,FALSE)
    ),
    VLOOKUP(B87,'REKAP APAR FT MAOS'!B:J,3,FALSE)
)</f>
        <v>46292</v>
      </c>
      <c r="E87" s="29">
        <f ca="1">IFERROR(
    IF(VLOOKUP(B87,'SUMBER REKAP APAR'!F:O,3,FALSE)="",
        VLOOKUP(B87,'REKAP APAR FT MAOS'!B:J,4,FALSE),
        VLOOKUP(B87,'SUMBER REKAP APAR'!F:O,3,FALSE)
    ),
    VLOOKUP(B87,'REKAP APAR FT MAOS'!B:J,4,FALSE)
)</f>
        <v>46292</v>
      </c>
      <c r="F87" s="29">
        <f ca="1">IFERROR(
    IF(VLOOKUP(B87,'SUMBER REKAP APAR'!F:O,4,FALSE)="",
        VLOOKUP(B87,'REKAP APAR FT MAOS'!B:J,5,FALSE),
        VLOOKUP(B87,'SUMBER REKAP APAR'!F:O,4,FALSE)
    ),
    VLOOKUP(B87,'REKAP APAR FT MAOS'!B:J,5,FALSE)
)</f>
        <v>0</v>
      </c>
      <c r="G87" s="29">
        <f ca="1">IFERROR(
    IF(VLOOKUP(B87,'SUMBER REKAP APAR'!F:O,5,FALSE)="",
        VLOOKUP(B87,'REKAP APAR FT MAOS'!B:J,6,FALSE),
        VLOOKUP(B87,'SUMBER REKAP APAR'!F:O,5,FALSE)
    ),
    VLOOKUP(B87,'REKAP APAR FT MAOS'!B:J,6,FALSE)
)</f>
        <v>46111</v>
      </c>
      <c r="H87" s="29">
        <f ca="1">IFERROR(
    IF(VLOOKUP(B87,'SUMBER REKAP APAR'!F:O,6,FALSE)="",
        VLOOKUP(B87,'REKAP APAR FT MAOS'!B:J,7,FALSE),
        VLOOKUP(B87,'SUMBER REKAP APAR'!F:O,6,FALSE)
    ),
    VLOOKUP(B87,'REKAP APAR FT MAOS'!B:J,7,FALSE)
)</f>
        <v>46292</v>
      </c>
      <c r="I87" s="29">
        <f ca="1">IFERROR(
    IF(VLOOKUP(B87,'SUMBER REKAP APAR'!F:O,7,FALSE)="",
        VLOOKUP(B87,'REKAP APAR FT MAOS'!B:J,8,FALSE),
        VLOOKUP(B87,'SUMBER REKAP APAR'!F:O,7,FALSE)
    ),
    VLOOKUP(B87,'REKAP APAR FT MAOS'!B:J,8,FALSE)
)</f>
        <v>0</v>
      </c>
      <c r="J87" s="29">
        <f ca="1">IFERROR(
    IF(VLOOKUP(B87,'SUMBER REKAP APAR'!F:O,8,FALSE)="",
        VLOOKUP(B87,'REKAP APAR FT MAOS'!B:J,9,FALSE),
        VLOOKUP(B87,'SUMBER REKAP APAR'!F:O,8,FALSE)
    ),
    VLOOKUP(B87,'REKAP APAR FT MAOS'!B:J,9,FALSE)
)</f>
        <v>46352</v>
      </c>
      <c r="K87" s="29" t="e">
        <f ca="1">IFERROR(
    IF(VLOOKUP(B87,'SUMBER REKAP APAR'!F:O,9,FALSE)="",
        VLOOKUP(B87,'REKAP APAR FT MAOS'!B:J,10,FALSE),
        VLOOKUP(B87,'SUMBER REKAP APAR'!F:O,9,FALSE)
    ),
    VLOOKUP(B87,'REKAP APAR FT MAOS'!B:J,10,FALSE)
)</f>
        <v>#REF!</v>
      </c>
      <c r="L87" s="29" t="e">
        <f ca="1">IFERROR(
    IF(VLOOKUP(B87,'SUMBER REKAP APAR'!F:O,10,FALSE)="",
        VLOOKUP(B87,'REKAP APAR FT MAOS'!B:J,11,FALSE),
        VLOOKUP(B87,'SUMBER REKAP APAR'!F:O,10,FALSE)
    ),
    VLOOKUP(B87,'REKAP APAR FT MAOS'!B:J,11,FALSE)
)</f>
        <v>#REF!</v>
      </c>
      <c r="M87" s="29" t="e">
        <f ca="1">IFERROR(
    IF(VLOOKUP(B87,'SUMBER REKAP APAR'!F:Q,11,FALSE)="",
        VLOOKUP(B87,'REKAP APAR FT MAOS'!B:J,12,FALSE),
        VLOOKUP(B87,'SUMBER REKAP APAR'!F:Q,11,FALSE)
    ),
    VLOOKUP(B87,'REKAP APAR FT MAOS'!B:J,12,FALSE)
)</f>
        <v>#REF!</v>
      </c>
      <c r="N87" s="32">
        <f t="shared" ref="N87:R87" ca="1" si="167">IF(OR($AA$1="",D87=""),"",D87-$AA$1)</f>
        <v>-5</v>
      </c>
      <c r="O87" s="32">
        <f t="shared" ca="1" si="167"/>
        <v>-5</v>
      </c>
      <c r="P87" s="32">
        <f t="shared" ca="1" si="167"/>
        <v>-46297</v>
      </c>
      <c r="Q87" s="32">
        <f t="shared" ca="1" si="167"/>
        <v>-186</v>
      </c>
      <c r="R87" s="32">
        <f t="shared" ca="1" si="167"/>
        <v>-5</v>
      </c>
      <c r="T87" s="33">
        <f t="shared" ref="T87:X87" ca="1" si="168">COUNTIF(N87, "&lt;30")</f>
        <v>1</v>
      </c>
      <c r="U87" s="33">
        <f t="shared" ca="1" si="168"/>
        <v>1</v>
      </c>
      <c r="V87" s="33">
        <f t="shared" ca="1" si="168"/>
        <v>1</v>
      </c>
      <c r="W87" s="33">
        <f t="shared" ca="1" si="168"/>
        <v>1</v>
      </c>
      <c r="X87" s="33">
        <f t="shared" ca="1" si="168"/>
        <v>1</v>
      </c>
      <c r="Y87" s="34">
        <f t="shared" ca="1" si="2"/>
        <v>5</v>
      </c>
    </row>
    <row r="88" spans="1:25" ht="17.399999999999999">
      <c r="A88" s="3">
        <v>85</v>
      </c>
      <c r="B88" s="36" t="s">
        <v>164</v>
      </c>
      <c r="C88" s="22" t="s">
        <v>61</v>
      </c>
      <c r="D88" s="29">
        <f ca="1">IFERROR(
    IF(VLOOKUP(B88,'SUMBER REKAP APAR'!F:O,2,FALSE)="",
        VLOOKUP(B88,'REKAP APAR FT MAOS'!B:J,3,FALSE),
        VLOOKUP(B88,'SUMBER REKAP APAR'!F:O,2,FALSE)
    ),
    VLOOKUP(B88,'REKAP APAR FT MAOS'!B:J,3,FALSE)
)</f>
        <v>46418</v>
      </c>
      <c r="E88" s="29">
        <f ca="1">IFERROR(
    IF(VLOOKUP(B88,'SUMBER REKAP APAR'!F:O,3,FALSE)="",
        VLOOKUP(B88,'REKAP APAR FT MAOS'!B:J,4,FALSE),
        VLOOKUP(B88,'SUMBER REKAP APAR'!F:O,3,FALSE)
    ),
    VLOOKUP(B88,'REKAP APAR FT MAOS'!B:J,4,FALSE)
)</f>
        <v>46418</v>
      </c>
      <c r="F88" s="29">
        <f ca="1">IFERROR(
    IF(VLOOKUP(B88,'SUMBER REKAP APAR'!F:O,4,FALSE)="",
        VLOOKUP(B88,'REKAP APAR FT MAOS'!B:J,5,FALSE),
        VLOOKUP(B88,'SUMBER REKAP APAR'!F:O,4,FALSE)
    ),
    VLOOKUP(B88,'REKAP APAR FT MAOS'!B:J,5,FALSE)
)</f>
        <v>0</v>
      </c>
      <c r="G88" s="29">
        <f ca="1">IFERROR(
    IF(VLOOKUP(B88,'SUMBER REKAP APAR'!F:O,5,FALSE)="",
        VLOOKUP(B88,'REKAP APAR FT MAOS'!B:J,6,FALSE),
        VLOOKUP(B88,'SUMBER REKAP APAR'!F:O,5,FALSE)
    ),
    VLOOKUP(B88,'REKAP APAR FT MAOS'!B:J,6,FALSE)
)</f>
        <v>0</v>
      </c>
      <c r="H88" s="29">
        <f ca="1">IFERROR(
    IF(VLOOKUP(B88,'SUMBER REKAP APAR'!F:O,6,FALSE)="",
        VLOOKUP(B88,'REKAP APAR FT MAOS'!B:J,7,FALSE),
        VLOOKUP(B88,'SUMBER REKAP APAR'!F:O,6,FALSE)
    ),
    VLOOKUP(B88,'REKAP APAR FT MAOS'!B:J,7,FALSE)
)</f>
        <v>46325</v>
      </c>
      <c r="I88" s="29">
        <f ca="1">IFERROR(
    IF(VLOOKUP(B88,'SUMBER REKAP APAR'!F:O,7,FALSE)="",
        VLOOKUP(B88,'REKAP APAR FT MAOS'!B:J,8,FALSE),
        VLOOKUP(B88,'SUMBER REKAP APAR'!F:O,7,FALSE)
    ),
    VLOOKUP(B88,'REKAP APAR FT MAOS'!B:J,8,FALSE)
)</f>
        <v>0</v>
      </c>
      <c r="J88" s="29">
        <f ca="1">IFERROR(
    IF(VLOOKUP(B88,'SUMBER REKAP APAR'!F:O,8,FALSE)="",
        VLOOKUP(B88,'REKAP APAR FT MAOS'!B:J,9,FALSE),
        VLOOKUP(B88,'SUMBER REKAP APAR'!F:O,8,FALSE)
    ),
    VLOOKUP(B88,'REKAP APAR FT MAOS'!B:J,9,FALSE)
)</f>
        <v>46376</v>
      </c>
      <c r="K88" s="29" t="e">
        <f ca="1">IFERROR(
    IF(VLOOKUP(B88,'SUMBER REKAP APAR'!F:O,9,FALSE)="",
        VLOOKUP(B88,'REKAP APAR FT MAOS'!B:J,10,FALSE),
        VLOOKUP(B88,'SUMBER REKAP APAR'!F:O,9,FALSE)
    ),
    VLOOKUP(B88,'REKAP APAR FT MAOS'!B:J,10,FALSE)
)</f>
        <v>#REF!</v>
      </c>
      <c r="L88" s="29" t="e">
        <f ca="1">IFERROR(
    IF(VLOOKUP(B88,'SUMBER REKAP APAR'!F:O,10,FALSE)="",
        VLOOKUP(B88,'REKAP APAR FT MAOS'!B:J,11,FALSE),
        VLOOKUP(B88,'SUMBER REKAP APAR'!F:O,10,FALSE)
    ),
    VLOOKUP(B88,'REKAP APAR FT MAOS'!B:J,11,FALSE)
)</f>
        <v>#REF!</v>
      </c>
      <c r="M88" s="29" t="e">
        <f ca="1">IFERROR(
    IF(VLOOKUP(B88,'SUMBER REKAP APAR'!F:Q,11,FALSE)="",
        VLOOKUP(B88,'REKAP APAR FT MAOS'!B:J,12,FALSE),
        VLOOKUP(B88,'SUMBER REKAP APAR'!F:Q,11,FALSE)
    ),
    VLOOKUP(B88,'REKAP APAR FT MAOS'!B:J,12,FALSE)
)</f>
        <v>#REF!</v>
      </c>
      <c r="N88" s="32">
        <f t="shared" ref="N88:R88" ca="1" si="169">IF(OR($AA$1="",D88=""),"",D88-$AA$1)</f>
        <v>121</v>
      </c>
      <c r="O88" s="32">
        <f t="shared" ca="1" si="169"/>
        <v>121</v>
      </c>
      <c r="P88" s="32">
        <f t="shared" ca="1" si="169"/>
        <v>-46297</v>
      </c>
      <c r="Q88" s="32">
        <f t="shared" ca="1" si="169"/>
        <v>-46297</v>
      </c>
      <c r="R88" s="32">
        <f t="shared" ca="1" si="169"/>
        <v>28</v>
      </c>
      <c r="T88" s="33">
        <f t="shared" ref="T88:X88" ca="1" si="170">COUNTIF(N88, "&lt;30")</f>
        <v>0</v>
      </c>
      <c r="U88" s="33">
        <f t="shared" ca="1" si="170"/>
        <v>0</v>
      </c>
      <c r="V88" s="33">
        <f t="shared" ca="1" si="170"/>
        <v>1</v>
      </c>
      <c r="W88" s="33">
        <f t="shared" ca="1" si="170"/>
        <v>1</v>
      </c>
      <c r="X88" s="33">
        <f t="shared" ca="1" si="170"/>
        <v>1</v>
      </c>
      <c r="Y88" s="34">
        <f t="shared" ca="1" si="2"/>
        <v>3</v>
      </c>
    </row>
  </sheetData>
  <mergeCells count="30">
    <mergeCell ref="O2:O3"/>
    <mergeCell ref="P2:P3"/>
    <mergeCell ref="Q2:Q3"/>
    <mergeCell ref="S4:S81"/>
    <mergeCell ref="A2:A3"/>
    <mergeCell ref="B2:B3"/>
    <mergeCell ref="C2:C3"/>
    <mergeCell ref="D2:D3"/>
    <mergeCell ref="E2:E3"/>
    <mergeCell ref="W2:W3"/>
    <mergeCell ref="X2:X3"/>
    <mergeCell ref="Y2:Y3"/>
    <mergeCell ref="D1:H1"/>
    <mergeCell ref="I1:M1"/>
    <mergeCell ref="N1:R1"/>
    <mergeCell ref="T1:Y1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R2:R3"/>
    <mergeCell ref="S2:S3"/>
    <mergeCell ref="T2:T3"/>
    <mergeCell ref="U2:U3"/>
    <mergeCell ref="V2:V3"/>
  </mergeCells>
  <conditionalFormatting sqref="N4:R88">
    <cfRule type="colorScale" priority="1">
      <colorScale>
        <cfvo type="formula" val="30"/>
        <cfvo type="formula" val="40"/>
        <cfvo type="formula" val="50"/>
        <color rgb="FFFF0000"/>
        <color rgb="FFFFD666"/>
        <color rgb="FF00FF00"/>
      </colorScale>
    </cfRule>
  </conditionalFormatting>
  <conditionalFormatting sqref="S4:S81 T4:X88">
    <cfRule type="colorScale" priority="2">
      <colorScale>
        <cfvo type="formula" val="0"/>
        <cfvo type="formula" val="1"/>
        <cfvo type="formula" val="1"/>
        <color rgb="FFFFFFFF"/>
        <color rgb="FFABDDC5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Z1000"/>
  <sheetViews>
    <sheetView workbookViewId="0"/>
  </sheetViews>
  <sheetFormatPr defaultColWidth="12.6640625" defaultRowHeight="15.75" customHeight="1"/>
  <cols>
    <col min="3" max="3" width="16.44140625" customWidth="1"/>
    <col min="4" max="4" width="24.77734375" customWidth="1"/>
    <col min="17" max="17" width="89.44140625" customWidth="1"/>
  </cols>
  <sheetData>
    <row r="1" spans="1:26" ht="21.75" customHeight="1">
      <c r="A1" s="54" t="str">
        <f ca="1">IFERROR(__xludf.DUMMYFUNCTION("IMPORTRANGE(
  ""https://docs.google.com/spreadsheets/d/1P3E96QrJhtju8oyAWxxjT3uaA5LypwqZaqKV7r5iOfg/edit?usp=sharing"",
  ""Sheet1!A:Q""
)"),"Submission ID")</f>
        <v>Submission ID</v>
      </c>
      <c r="B1" s="54" t="str">
        <f ca="1">IFERROR(__xludf.DUMMYFUNCTION("""COMPUTED_VALUE"""),"Respondent ID")</f>
        <v>Respondent ID</v>
      </c>
      <c r="C1" s="54" t="str">
        <f ca="1">IFERROR(__xludf.DUMMYFUNCTION("""COMPUTED_VALUE"""),"Submitted at")</f>
        <v>Submitted at</v>
      </c>
      <c r="D1" s="54" t="str">
        <f ca="1">IFERROR(__xludf.DUMMYFUNCTION("""COMPUTED_VALUE"""),"NAMA INSPECTOR")</f>
        <v>NAMA INSPECTOR</v>
      </c>
      <c r="E1" s="54" t="str">
        <f ca="1">IFERROR(__xludf.DUMMYFUNCTION("""COMPUTED_VALUE"""),"TANGGAL PENGECEKAN")</f>
        <v>TANGGAL PENGECEKAN</v>
      </c>
      <c r="F1" s="54" t="str">
        <f ca="1">IFERROR(__xludf.DUMMYFUNCTION("""COMPUTED_VALUE"""),"PLAT NOMOR")</f>
        <v>PLAT NOMOR</v>
      </c>
      <c r="G1" s="54" t="str">
        <f ca="1">IFERROR(__xludf.DUMMYFUNCTION("""COMPUTED_VALUE"""),"CO2 PERTAMA")</f>
        <v>CO2 PERTAMA</v>
      </c>
      <c r="H1" s="54" t="str">
        <f ca="1">IFERROR(__xludf.DUMMYFUNCTION("""COMPUTED_VALUE"""),"CO2 PERTAMA")</f>
        <v>CO2 PERTAMA</v>
      </c>
      <c r="I1" s="54" t="str">
        <f ca="1">IFERROR(__xludf.DUMMYFUNCTION("""COMPUTED_VALUE"""),"DCP")</f>
        <v>DCP</v>
      </c>
      <c r="J1" s="54" t="str">
        <f ca="1">IFERROR(__xludf.DUMMYFUNCTION("""COMPUTED_VALUE"""),"FOAM")</f>
        <v>FOAM</v>
      </c>
      <c r="K1" s="54" t="str">
        <f ca="1">IFERROR(__xludf.DUMMYFUNCTION("""COMPUTED_VALUE"""),"DCP CATRIDGE")</f>
        <v>DCP CATRIDGE</v>
      </c>
      <c r="L1" s="54" t="str">
        <f ca="1">IFERROR(__xludf.DUMMYFUNCTION("""COMPUTED_VALUE"""),"CO2 PERTAMA")</f>
        <v>CO2 PERTAMA</v>
      </c>
      <c r="M1" s="54" t="str">
        <f ca="1">IFERROR(__xludf.DUMMYFUNCTION("""COMPUTED_VALUE"""),"CO2 KEDUA")</f>
        <v>CO2 KEDUA</v>
      </c>
      <c r="N1" s="54" t="str">
        <f ca="1">IFERROR(__xludf.DUMMYFUNCTION("""COMPUTED_VALUE"""),"DCP")</f>
        <v>DCP</v>
      </c>
      <c r="O1" s="54" t="str">
        <f ca="1">IFERROR(__xludf.DUMMYFUNCTION("""COMPUTED_VALUE"""),"FOAM")</f>
        <v>FOAM</v>
      </c>
      <c r="P1" s="54" t="str">
        <f ca="1">IFERROR(__xludf.DUMMYFUNCTION("""COMPUTED_VALUE"""),"DCP CATRIDGE")</f>
        <v>DCP CATRIDGE</v>
      </c>
      <c r="Q1" s="54" t="str">
        <f ca="1">IFERROR(__xludf.DUMMYFUNCTION("""COMPUTED_VALUE"""),"CATATAN")</f>
        <v>CATATAN</v>
      </c>
      <c r="R1" s="51"/>
      <c r="S1" s="51"/>
      <c r="T1" s="51"/>
      <c r="U1" s="51"/>
      <c r="V1" s="51"/>
      <c r="W1" s="51"/>
      <c r="X1" s="51"/>
      <c r="Y1" s="51"/>
      <c r="Z1" s="51"/>
    </row>
    <row r="2" spans="1:26" ht="13.2">
      <c r="A2" s="55" t="str">
        <f ca="1">IFERROR(__xludf.DUMMYFUNCTION("""COMPUTED_VALUE"""),"gDzoDXO")</f>
        <v>gDzoDXO</v>
      </c>
      <c r="B2" s="55" t="str">
        <f ca="1">IFERROR(__xludf.DUMMYFUNCTION("""COMPUTED_VALUE"""),"aQOgg49")</f>
        <v>aQOgg49</v>
      </c>
      <c r="C2" s="56">
        <f ca="1">IFERROR(__xludf.DUMMYFUNCTION("""COMPUTED_VALUE"""),45943.1938888888)</f>
        <v>45943.193888888803</v>
      </c>
      <c r="D2" s="55" t="str">
        <f ca="1">IFERROR(__xludf.DUMMYFUNCTION("""COMPUTED_VALUE"""),"Akbar Noeh")</f>
        <v>Akbar Noeh</v>
      </c>
      <c r="E2" s="57">
        <f ca="1">IFERROR(__xludf.DUMMYFUNCTION("""COMPUTED_VALUE"""),45942)</f>
        <v>45942</v>
      </c>
      <c r="F2" s="55" t="str">
        <f ca="1">IFERROR(__xludf.DUMMYFUNCTION("""COMPUTED_VALUE"""),"H9392OF")</f>
        <v>H9392OF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 t="str">
        <f ca="1">IFERROR(__xludf.DUMMYFUNCTION("""COMPUTED_VALUE"""),"penggantian apar cadangan di 27 september 2025")</f>
        <v>penggantian apar cadangan di 27 september 2025</v>
      </c>
    </row>
    <row r="3" spans="1:26" ht="13.2" hidden="1">
      <c r="A3" s="55" t="str">
        <f ca="1">IFERROR(__xludf.DUMMYFUNCTION("""COMPUTED_VALUE"""),"ODENkEA")</f>
        <v>ODENkEA</v>
      </c>
      <c r="B3" s="55" t="str">
        <f ca="1">IFERROR(__xludf.DUMMYFUNCTION("""COMPUTED_VALUE"""),"aQOgg49")</f>
        <v>aQOgg49</v>
      </c>
      <c r="C3" s="56">
        <f ca="1">IFERROR(__xludf.DUMMYFUNCTION("""COMPUTED_VALUE"""),45943.3032175925)</f>
        <v>45943.303217592496</v>
      </c>
      <c r="D3" s="55" t="str">
        <f ca="1">IFERROR(__xludf.DUMMYFUNCTION("""COMPUTED_VALUE"""),"Ade Tri Nazril Ilham")</f>
        <v>Ade Tri Nazril Ilham</v>
      </c>
      <c r="E3" s="57">
        <f ca="1">IFERROR(__xludf.DUMMYFUNCTION("""COMPUTED_VALUE"""),45941)</f>
        <v>45941</v>
      </c>
      <c r="F3" s="55" t="str">
        <f ca="1">IFERROR(__xludf.DUMMYFUNCTION("""COMPUTED_VALUE"""),"B9223SFV")</f>
        <v>B9223SFV</v>
      </c>
      <c r="G3" s="57">
        <f ca="1">IFERROR(__xludf.DUMMYFUNCTION("""COMPUTED_VALUE"""),45943)</f>
        <v>45943</v>
      </c>
      <c r="H3" s="57">
        <f ca="1">IFERROR(__xludf.DUMMYFUNCTION("""COMPUTED_VALUE"""),45943)</f>
        <v>45943</v>
      </c>
      <c r="I3" s="55"/>
      <c r="J3" s="55"/>
      <c r="K3" s="55"/>
      <c r="L3" s="55"/>
      <c r="M3" s="55"/>
      <c r="N3" s="55"/>
      <c r="O3" s="55"/>
      <c r="P3" s="55"/>
      <c r="Q3" s="55"/>
    </row>
    <row r="4" spans="1:26" ht="13.2" hidden="1">
      <c r="A4" s="55" t="str">
        <f ca="1">IFERROR(__xludf.DUMMYFUNCTION("""COMPUTED_VALUE"""),"WOq71bk")</f>
        <v>WOq71bk</v>
      </c>
      <c r="B4" s="55" t="str">
        <f ca="1">IFERROR(__xludf.DUMMYFUNCTION("""COMPUTED_VALUE"""),"aQOgg49")</f>
        <v>aQOgg49</v>
      </c>
      <c r="C4" s="56">
        <f ca="1">IFERROR(__xludf.DUMMYFUNCTION("""COMPUTED_VALUE"""),45943.3041782407)</f>
        <v>45943.304178240702</v>
      </c>
      <c r="D4" s="55" t="str">
        <f ca="1">IFERROR(__xludf.DUMMYFUNCTION("""COMPUTED_VALUE"""),"Ade Tri Nazril Ilham")</f>
        <v>Ade Tri Nazril Ilham</v>
      </c>
      <c r="E4" s="57">
        <f ca="1">IFERROR(__xludf.DUMMYFUNCTION("""COMPUTED_VALUE"""),45941)</f>
        <v>45941</v>
      </c>
      <c r="F4" s="55" t="str">
        <f ca="1">IFERROR(__xludf.DUMMYFUNCTION("""COMPUTED_VALUE"""),"B9223SFV")</f>
        <v>B9223SFV</v>
      </c>
      <c r="G4" s="57">
        <f ca="1">IFERROR(__xludf.DUMMYFUNCTION("""COMPUTED_VALUE"""),45960)</f>
        <v>45960</v>
      </c>
      <c r="H4" s="57">
        <f ca="1">IFERROR(__xludf.DUMMYFUNCTION("""COMPUTED_VALUE"""),45960)</f>
        <v>45960</v>
      </c>
      <c r="I4" s="55"/>
      <c r="J4" s="55"/>
      <c r="K4" s="55"/>
      <c r="L4" s="55"/>
      <c r="M4" s="55"/>
      <c r="N4" s="55"/>
      <c r="O4" s="55"/>
      <c r="P4" s="55"/>
      <c r="Q4" s="55"/>
    </row>
    <row r="5" spans="1:26" ht="13.2">
      <c r="A5" s="55" t="str">
        <f ca="1">IFERROR(__xludf.DUMMYFUNCTION("""COMPUTED_VALUE"""),"44ObOaB")</f>
        <v>44ObOaB</v>
      </c>
      <c r="B5" s="55" t="str">
        <f ca="1">IFERROR(__xludf.DUMMYFUNCTION("""COMPUTED_VALUE"""),"aQOgg49")</f>
        <v>aQOgg49</v>
      </c>
      <c r="C5" s="56">
        <f ca="1">IFERROR(__xludf.DUMMYFUNCTION("""COMPUTED_VALUE"""),45943.3054976851)</f>
        <v>45943.305497685098</v>
      </c>
      <c r="D5" s="55" t="str">
        <f ca="1">IFERROR(__xludf.DUMMYFUNCTION("""COMPUTED_VALUE"""),"Ade Tri Nazril Ilham")</f>
        <v>Ade Tri Nazril Ilham</v>
      </c>
      <c r="E5" s="57">
        <f ca="1">IFERROR(__xludf.DUMMYFUNCTION("""COMPUTED_VALUE"""),45941)</f>
        <v>45941</v>
      </c>
      <c r="F5" s="55" t="str">
        <f ca="1">IFERROR(__xludf.DUMMYFUNCTION("""COMPUTED_VALUE"""),"B9223SFV")</f>
        <v>B9223SFV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 t="str">
        <f ca="1">IFERROR(__xludf.DUMMYFUNCTION("""COMPUTED_VALUE"""),"Apar DCP di ganti tanggal 26 september 2025")</f>
        <v>Apar DCP di ganti tanggal 26 september 2025</v>
      </c>
    </row>
    <row r="6" spans="1:26" ht="13.2" hidden="1">
      <c r="A6" s="55" t="str">
        <f ca="1">IFERROR(__xludf.DUMMYFUNCTION("""COMPUTED_VALUE"""),"44ObOoY")</f>
        <v>44ObOoY</v>
      </c>
      <c r="B6" s="55" t="str">
        <f ca="1">IFERROR(__xludf.DUMMYFUNCTION("""COMPUTED_VALUE"""),"aQOgg49")</f>
        <v>aQOgg49</v>
      </c>
      <c r="C6" s="56">
        <f ca="1">IFERROR(__xludf.DUMMYFUNCTION("""COMPUTED_VALUE"""),45943.306875)</f>
        <v>45943.306875000002</v>
      </c>
      <c r="D6" s="55" t="str">
        <f ca="1">IFERROR(__xludf.DUMMYFUNCTION("""COMPUTED_VALUE"""),"Akbar Noeh")</f>
        <v>Akbar Noeh</v>
      </c>
      <c r="E6" s="57">
        <f ca="1">IFERROR(__xludf.DUMMYFUNCTION("""COMPUTED_VALUE"""),45941)</f>
        <v>45941</v>
      </c>
      <c r="F6" s="55" t="str">
        <f ca="1">IFERROR(__xludf.DUMMYFUNCTION("""COMPUTED_VALUE"""),"N8864UG")</f>
        <v>N8864UG</v>
      </c>
      <c r="G6" s="57">
        <f ca="1">IFERROR(__xludf.DUMMYFUNCTION("""COMPUTED_VALUE"""),45978)</f>
        <v>45978</v>
      </c>
      <c r="H6" s="57">
        <f ca="1">IFERROR(__xludf.DUMMYFUNCTION("""COMPUTED_VALUE"""),45978)</f>
        <v>45978</v>
      </c>
      <c r="I6" s="57">
        <f ca="1">IFERROR(__xludf.DUMMYFUNCTION("""COMPUTED_VALUE"""),46023)</f>
        <v>46023</v>
      </c>
      <c r="J6" s="57">
        <f ca="1">IFERROR(__xludf.DUMMYFUNCTION("""COMPUTED_VALUE"""),46023)</f>
        <v>46023</v>
      </c>
      <c r="K6" s="55"/>
      <c r="L6" s="55"/>
      <c r="M6" s="55"/>
      <c r="N6" s="55"/>
      <c r="O6" s="55"/>
      <c r="P6" s="55"/>
      <c r="Q6" s="55"/>
    </row>
    <row r="7" spans="1:26" ht="13.2" hidden="1">
      <c r="A7" s="55" t="str">
        <f ca="1">IFERROR(__xludf.DUMMYFUNCTION("""COMPUTED_VALUE"""),"b5zJzAe")</f>
        <v>b5zJzAe</v>
      </c>
      <c r="B7" s="55" t="str">
        <f ca="1">IFERROR(__xludf.DUMMYFUNCTION("""COMPUTED_VALUE"""),"aQOgg49")</f>
        <v>aQOgg49</v>
      </c>
      <c r="C7" s="56">
        <f ca="1">IFERROR(__xludf.DUMMYFUNCTION("""COMPUTED_VALUE"""),45943.3077314814)</f>
        <v>45943.3077314814</v>
      </c>
      <c r="D7" s="55" t="str">
        <f ca="1">IFERROR(__xludf.DUMMYFUNCTION("""COMPUTED_VALUE"""),"Ade Tri Nazril Ilham")</f>
        <v>Ade Tri Nazril Ilham</v>
      </c>
      <c r="E7" s="57">
        <f ca="1">IFERROR(__xludf.DUMMYFUNCTION("""COMPUTED_VALUE"""),45941)</f>
        <v>45941</v>
      </c>
      <c r="F7" s="55" t="str">
        <f ca="1">IFERROR(__xludf.DUMMYFUNCTION("""COMPUTED_VALUE"""),"H9698OF")</f>
        <v>H9698OF</v>
      </c>
      <c r="G7" s="57">
        <f ca="1">IFERROR(__xludf.DUMMYFUNCTION("""COMPUTED_VALUE"""),45978)</f>
        <v>45978</v>
      </c>
      <c r="H7" s="57">
        <f ca="1">IFERROR(__xludf.DUMMYFUNCTION("""COMPUTED_VALUE"""),45978)</f>
        <v>45978</v>
      </c>
      <c r="I7" s="57">
        <f ca="1">IFERROR(__xludf.DUMMYFUNCTION("""COMPUTED_VALUE"""),46008)</f>
        <v>46008</v>
      </c>
      <c r="J7" s="57">
        <f ca="1">IFERROR(__xludf.DUMMYFUNCTION("""COMPUTED_VALUE"""),45978)</f>
        <v>45978</v>
      </c>
      <c r="K7" s="55"/>
      <c r="L7" s="55"/>
      <c r="M7" s="55"/>
      <c r="N7" s="55"/>
      <c r="O7" s="55"/>
      <c r="P7" s="55"/>
      <c r="Q7" s="55"/>
    </row>
    <row r="8" spans="1:26" ht="13.2">
      <c r="A8" s="55" t="str">
        <f ca="1">IFERROR(__xludf.DUMMYFUNCTION("""COMPUTED_VALUE"""),"44ObG4X")</f>
        <v>44ObG4X</v>
      </c>
      <c r="B8" s="55" t="str">
        <f ca="1">IFERROR(__xludf.DUMMYFUNCTION("""COMPUTED_VALUE"""),"aQOgg49")</f>
        <v>aQOgg49</v>
      </c>
      <c r="C8" s="56">
        <f ca="1">IFERROR(__xludf.DUMMYFUNCTION("""COMPUTED_VALUE"""),45943.3097800925)</f>
        <v>45943.309780092502</v>
      </c>
      <c r="D8" s="55" t="str">
        <f ca="1">IFERROR(__xludf.DUMMYFUNCTION("""COMPUTED_VALUE"""),"Akbar Noeh")</f>
        <v>Akbar Noeh</v>
      </c>
      <c r="E8" s="57">
        <f ca="1">IFERROR(__xludf.DUMMYFUNCTION("""COMPUTED_VALUE"""),45941)</f>
        <v>45941</v>
      </c>
      <c r="F8" s="55" t="str">
        <f ca="1">IFERROR(__xludf.DUMMYFUNCTION("""COMPUTED_VALUE"""),"E9450YC")</f>
        <v>E9450YC</v>
      </c>
      <c r="G8" s="57">
        <f ca="1">IFERROR(__xludf.DUMMYFUNCTION("""COMPUTED_VALUE"""),46053)</f>
        <v>46053</v>
      </c>
      <c r="H8" s="57">
        <f ca="1">IFERROR(__xludf.DUMMYFUNCTION("""COMPUTED_VALUE"""),46053)</f>
        <v>46053</v>
      </c>
      <c r="I8" s="55"/>
      <c r="J8" s="57">
        <f ca="1">IFERROR(__xludf.DUMMYFUNCTION("""COMPUTED_VALUE"""),46053)</f>
        <v>46053</v>
      </c>
      <c r="K8" s="55"/>
      <c r="L8" s="55"/>
      <c r="M8" s="55"/>
      <c r="N8" s="57">
        <f ca="1">IFERROR(__xludf.DUMMYFUNCTION("""COMPUTED_VALUE"""),45927)</f>
        <v>45927</v>
      </c>
      <c r="O8" s="55"/>
      <c r="P8" s="55"/>
      <c r="Q8" s="55" t="str">
        <f ca="1">IFERROR(__xludf.DUMMYFUNCTION("""COMPUTED_VALUE"""),"apar cadangan foam expired")</f>
        <v>apar cadangan foam expired</v>
      </c>
    </row>
    <row r="9" spans="1:26" ht="13.2">
      <c r="A9" s="55" t="str">
        <f ca="1">IFERROR(__xludf.DUMMYFUNCTION("""COMPUTED_VALUE"""),"Pdrq4De")</f>
        <v>Pdrq4De</v>
      </c>
      <c r="B9" s="55" t="str">
        <f ca="1">IFERROR(__xludf.DUMMYFUNCTION("""COMPUTED_VALUE"""),"aQOgg49")</f>
        <v>aQOgg49</v>
      </c>
      <c r="C9" s="56">
        <f ca="1">IFERROR(__xludf.DUMMYFUNCTION("""COMPUTED_VALUE"""),45943.3145833333)</f>
        <v>45943.314583333296</v>
      </c>
      <c r="D9" s="55" t="str">
        <f ca="1">IFERROR(__xludf.DUMMYFUNCTION("""COMPUTED_VALUE"""),"Ade Tri Nazril Ilham")</f>
        <v>Ade Tri Nazril Ilham</v>
      </c>
      <c r="E9" s="57">
        <f ca="1">IFERROR(__xludf.DUMMYFUNCTION("""COMPUTED_VALUE"""),45941)</f>
        <v>45941</v>
      </c>
      <c r="F9" s="55" t="str">
        <f ca="1">IFERROR(__xludf.DUMMYFUNCTION("""COMPUTED_VALUE"""),"R9675B")</f>
        <v>R9675B</v>
      </c>
      <c r="G9" s="57">
        <f ca="1">IFERROR(__xludf.DUMMYFUNCTION("""COMPUTED_VALUE"""),45991)</f>
        <v>45991</v>
      </c>
      <c r="H9" s="57">
        <f ca="1">IFERROR(__xludf.DUMMYFUNCTION("""COMPUTED_VALUE"""),45991)</f>
        <v>45991</v>
      </c>
      <c r="I9" s="55"/>
      <c r="J9" s="55"/>
      <c r="K9" s="55"/>
      <c r="L9" s="55"/>
      <c r="M9" s="55"/>
      <c r="N9" s="57">
        <f ca="1">IFERROR(__xludf.DUMMYFUNCTION("""COMPUTED_VALUE"""),46081)</f>
        <v>46081</v>
      </c>
      <c r="O9" s="57">
        <f ca="1">IFERROR(__xludf.DUMMYFUNCTION("""COMPUTED_VALUE"""),46081)</f>
        <v>46081</v>
      </c>
      <c r="P9" s="55"/>
      <c r="Q9" s="55" t="str">
        <f ca="1">IFERROR(__xludf.DUMMYFUNCTION("""COMPUTED_VALUE"""),"penggantian apar cadangan 7 september 2025")</f>
        <v>penggantian apar cadangan 7 september 2025</v>
      </c>
    </row>
    <row r="10" spans="1:26" ht="13.2">
      <c r="A10" s="55" t="str">
        <f ca="1">IFERROR(__xludf.DUMMYFUNCTION("""COMPUTED_VALUE"""),"44ObEqY")</f>
        <v>44ObEqY</v>
      </c>
      <c r="B10" s="55" t="str">
        <f ca="1">IFERROR(__xludf.DUMMYFUNCTION("""COMPUTED_VALUE"""),"aQOgg49")</f>
        <v>aQOgg49</v>
      </c>
      <c r="C10" s="56">
        <f ca="1">IFERROR(__xludf.DUMMYFUNCTION("""COMPUTED_VALUE"""),45943.3167476851)</f>
        <v>45943.316747685101</v>
      </c>
      <c r="D10" s="55" t="str">
        <f ca="1">IFERROR(__xludf.DUMMYFUNCTION("""COMPUTED_VALUE"""),"Akbar Noeh")</f>
        <v>Akbar Noeh</v>
      </c>
      <c r="E10" s="57">
        <f ca="1">IFERROR(__xludf.DUMMYFUNCTION("""COMPUTED_VALUE"""),45941)</f>
        <v>45941</v>
      </c>
      <c r="F10" s="55" t="str">
        <f ca="1">IFERROR(__xludf.DUMMYFUNCTION("""COMPUTED_VALUE"""),"R9238IH")</f>
        <v>R9238IH</v>
      </c>
      <c r="G10" s="57">
        <f ca="1">IFERROR(__xludf.DUMMYFUNCTION("""COMPUTED_VALUE"""),45991)</f>
        <v>45991</v>
      </c>
      <c r="H10" s="57">
        <f ca="1">IFERROR(__xludf.DUMMYFUNCTION("""COMPUTED_VALUE"""),45991)</f>
        <v>45991</v>
      </c>
      <c r="I10" s="55"/>
      <c r="J10" s="55"/>
      <c r="K10" s="55"/>
      <c r="L10" s="55"/>
      <c r="M10" s="55"/>
      <c r="N10" s="57">
        <f ca="1">IFERROR(__xludf.DUMMYFUNCTION("""COMPUTED_VALUE"""),46081)</f>
        <v>46081</v>
      </c>
      <c r="O10" s="57">
        <f ca="1">IFERROR(__xludf.DUMMYFUNCTION("""COMPUTED_VALUE"""),46081)</f>
        <v>46081</v>
      </c>
      <c r="P10" s="55"/>
      <c r="Q10" s="55" t="str">
        <f ca="1">IFERROR(__xludf.DUMMYFUNCTION("""COMPUTED_VALUE"""),"penggantian apar cadangan 3 oktober 2025, apar co2 dilakukan penggantian stiker apar")</f>
        <v>penggantian apar cadangan 3 oktober 2025, apar co2 dilakukan penggantian stiker apar</v>
      </c>
    </row>
    <row r="11" spans="1:26" ht="13.2">
      <c r="A11" s="55" t="str">
        <f ca="1">IFERROR(__xludf.DUMMYFUNCTION("""COMPUTED_VALUE"""),"xXzWoJv")</f>
        <v>xXzWoJv</v>
      </c>
      <c r="B11" s="55" t="str">
        <f ca="1">IFERROR(__xludf.DUMMYFUNCTION("""COMPUTED_VALUE"""),"aQOgg49")</f>
        <v>aQOgg49</v>
      </c>
      <c r="C11" s="56">
        <f ca="1">IFERROR(__xludf.DUMMYFUNCTION("""COMPUTED_VALUE"""),45943.3190856481)</f>
        <v>45943.319085648101</v>
      </c>
      <c r="D11" s="55" t="str">
        <f ca="1">IFERROR(__xludf.DUMMYFUNCTION("""COMPUTED_VALUE"""),"Akbar Noeh")</f>
        <v>Akbar Noeh</v>
      </c>
      <c r="E11" s="57">
        <f ca="1">IFERROR(__xludf.DUMMYFUNCTION("""COMPUTED_VALUE"""),45941)</f>
        <v>45941</v>
      </c>
      <c r="F11" s="55" t="str">
        <f ca="1">IFERROR(__xludf.DUMMYFUNCTION("""COMPUTED_VALUE"""),"B9570SEI")</f>
        <v>B9570SEI</v>
      </c>
      <c r="G11" s="57">
        <f ca="1">IFERROR(__xludf.DUMMYFUNCTION("""COMPUTED_VALUE"""),45978)</f>
        <v>45978</v>
      </c>
      <c r="H11" s="57">
        <f ca="1">IFERROR(__xludf.DUMMYFUNCTION("""COMPUTED_VALUE"""),45978)</f>
        <v>45978</v>
      </c>
      <c r="I11" s="57">
        <f ca="1">IFERROR(__xludf.DUMMYFUNCTION("""COMPUTED_VALUE"""),45978)</f>
        <v>45978</v>
      </c>
      <c r="J11" s="55"/>
      <c r="K11" s="55"/>
      <c r="L11" s="55"/>
      <c r="M11" s="55"/>
      <c r="N11" s="57">
        <f ca="1">IFERROR(__xludf.DUMMYFUNCTION("""COMPUTED_VALUE"""),46055)</f>
        <v>46055</v>
      </c>
      <c r="O11" s="55"/>
      <c r="P11" s="55"/>
      <c r="Q11" s="55" t="str">
        <f ca="1">IFERROR(__xludf.DUMMYFUNCTION("""COMPUTED_VALUE"""),"penggantian apar cadangan 4 september")</f>
        <v>penggantian apar cadangan 4 september</v>
      </c>
    </row>
    <row r="12" spans="1:26" ht="13.2" hidden="1">
      <c r="A12" s="55" t="str">
        <f ca="1">IFERROR(__xludf.DUMMYFUNCTION("""COMPUTED_VALUE"""),"VLN6d1a")</f>
        <v>VLN6d1a</v>
      </c>
      <c r="B12" s="55" t="str">
        <f ca="1">IFERROR(__xludf.DUMMYFUNCTION("""COMPUTED_VALUE"""),"aQOgg49")</f>
        <v>aQOgg49</v>
      </c>
      <c r="C12" s="56">
        <f ca="1">IFERROR(__xludf.DUMMYFUNCTION("""COMPUTED_VALUE"""),45943.3199768518)</f>
        <v>45943.319976851802</v>
      </c>
      <c r="D12" s="55" t="str">
        <f ca="1">IFERROR(__xludf.DUMMYFUNCTION("""COMPUTED_VALUE"""),"Akbar Noeh")</f>
        <v>Akbar Noeh</v>
      </c>
      <c r="E12" s="57">
        <f ca="1">IFERROR(__xludf.DUMMYFUNCTION("""COMPUTED_VALUE"""),45941)</f>
        <v>45941</v>
      </c>
      <c r="F12" s="55" t="str">
        <f ca="1">IFERROR(__xludf.DUMMYFUNCTION("""COMPUTED_VALUE"""),"B9812TEI")</f>
        <v>B9812TEI</v>
      </c>
      <c r="G12" s="57">
        <f ca="1">IFERROR(__xludf.DUMMYFUNCTION("""COMPUTED_VALUE"""),46023)</f>
        <v>46023</v>
      </c>
      <c r="H12" s="57">
        <f ca="1">IFERROR(__xludf.DUMMYFUNCTION("""COMPUTED_VALUE"""),46023)</f>
        <v>46023</v>
      </c>
      <c r="I12" s="57">
        <f ca="1">IFERROR(__xludf.DUMMYFUNCTION("""COMPUTED_VALUE"""),46036)</f>
        <v>46036</v>
      </c>
      <c r="J12" s="57">
        <f ca="1">IFERROR(__xludf.DUMMYFUNCTION("""COMPUTED_VALUE"""),46036)</f>
        <v>46036</v>
      </c>
      <c r="K12" s="55"/>
      <c r="L12" s="55"/>
      <c r="M12" s="55"/>
      <c r="N12" s="55"/>
      <c r="O12" s="55"/>
      <c r="P12" s="55"/>
      <c r="Q12" s="55"/>
    </row>
    <row r="13" spans="1:26" ht="13.2">
      <c r="A13" s="55" t="str">
        <f ca="1">IFERROR(__xludf.DUMMYFUNCTION("""COMPUTED_VALUE"""),"2Eo65KM")</f>
        <v>2Eo65KM</v>
      </c>
      <c r="B13" s="55" t="str">
        <f ca="1">IFERROR(__xludf.DUMMYFUNCTION("""COMPUTED_VALUE"""),"aQOgg49")</f>
        <v>aQOgg49</v>
      </c>
      <c r="C13" s="56">
        <f ca="1">IFERROR(__xludf.DUMMYFUNCTION("""COMPUTED_VALUE"""),45943.3229861111)</f>
        <v>45943.322986111103</v>
      </c>
      <c r="D13" s="55" t="str">
        <f ca="1">IFERROR(__xludf.DUMMYFUNCTION("""COMPUTED_VALUE"""),"Ade Tri Nazril Ilham")</f>
        <v>Ade Tri Nazril Ilham</v>
      </c>
      <c r="E13" s="57">
        <f ca="1">IFERROR(__xludf.DUMMYFUNCTION("""COMPUTED_VALUE"""),45941)</f>
        <v>45941</v>
      </c>
      <c r="F13" s="55" t="str">
        <f ca="1">IFERROR(__xludf.DUMMYFUNCTION("""COMPUTED_VALUE"""),"B9376TFV")</f>
        <v>B9376TFV</v>
      </c>
      <c r="G13" s="57">
        <f ca="1">IFERROR(__xludf.DUMMYFUNCTION("""COMPUTED_VALUE"""),45991)</f>
        <v>45991</v>
      </c>
      <c r="H13" s="57">
        <f ca="1">IFERROR(__xludf.DUMMYFUNCTION("""COMPUTED_VALUE"""),45991)</f>
        <v>45991</v>
      </c>
      <c r="I13" s="57">
        <f ca="1">IFERROR(__xludf.DUMMYFUNCTION("""COMPUTED_VALUE"""),46055)</f>
        <v>46055</v>
      </c>
      <c r="J13" s="55"/>
      <c r="K13" s="55"/>
      <c r="L13" s="55"/>
      <c r="M13" s="55"/>
      <c r="N13" s="57">
        <f ca="1">IFERROR(__xludf.DUMMYFUNCTION("""COMPUTED_VALUE"""),46055)</f>
        <v>46055</v>
      </c>
      <c r="O13" s="55"/>
      <c r="P13" s="55"/>
      <c r="Q13" s="55" t="str">
        <f ca="1">IFERROR(__xludf.DUMMYFUNCTION("""COMPUTED_VALUE"""),"penggantian apar cadangan 9 september,")</f>
        <v>penggantian apar cadangan 9 september,</v>
      </c>
    </row>
    <row r="14" spans="1:26" ht="13.2" hidden="1">
      <c r="A14" s="55" t="str">
        <f ca="1">IFERROR(__xludf.DUMMYFUNCTION("""COMPUTED_VALUE"""),"BzeR56A")</f>
        <v>BzeR56A</v>
      </c>
      <c r="B14" s="55" t="str">
        <f ca="1">IFERROR(__xludf.DUMMYFUNCTION("""COMPUTED_VALUE"""),"aQOgg49")</f>
        <v>aQOgg49</v>
      </c>
      <c r="C14" s="56">
        <f ca="1">IFERROR(__xludf.DUMMYFUNCTION("""COMPUTED_VALUE"""),45943.3245949074)</f>
        <v>45943.324594907397</v>
      </c>
      <c r="D14" s="55" t="str">
        <f ca="1">IFERROR(__xludf.DUMMYFUNCTION("""COMPUTED_VALUE"""),"Akbar Noeh")</f>
        <v>Akbar Noeh</v>
      </c>
      <c r="E14" s="57">
        <f ca="1">IFERROR(__xludf.DUMMYFUNCTION("""COMPUTED_VALUE"""),45941)</f>
        <v>45941</v>
      </c>
      <c r="F14" s="55" t="str">
        <f ca="1">IFERROR(__xludf.DUMMYFUNCTION("""COMPUTED_VALUE"""),"N9865UJ")</f>
        <v>N9865UJ</v>
      </c>
      <c r="G14" s="57">
        <f ca="1">IFERROR(__xludf.DUMMYFUNCTION("""COMPUTED_VALUE"""),45991)</f>
        <v>45991</v>
      </c>
      <c r="H14" s="57">
        <f ca="1">IFERROR(__xludf.DUMMYFUNCTION("""COMPUTED_VALUE"""),45991)</f>
        <v>45991</v>
      </c>
      <c r="I14" s="57">
        <f ca="1">IFERROR(__xludf.DUMMYFUNCTION("""COMPUTED_VALUE"""),46081)</f>
        <v>46081</v>
      </c>
      <c r="J14" s="57">
        <f ca="1">IFERROR(__xludf.DUMMYFUNCTION("""COMPUTED_VALUE"""),46081)</f>
        <v>46081</v>
      </c>
      <c r="K14" s="55"/>
      <c r="L14" s="55"/>
      <c r="M14" s="55"/>
      <c r="N14" s="55"/>
      <c r="O14" s="55"/>
      <c r="P14" s="55"/>
      <c r="Q14" s="55"/>
    </row>
    <row r="15" spans="1:26" ht="13.2">
      <c r="A15" s="55" t="str">
        <f ca="1">IFERROR(__xludf.DUMMYFUNCTION("""COMPUTED_VALUE"""),"ZjeBrDA")</f>
        <v>ZjeBrDA</v>
      </c>
      <c r="B15" s="55" t="str">
        <f ca="1">IFERROR(__xludf.DUMMYFUNCTION("""COMPUTED_VALUE"""),"aQOgg49")</f>
        <v>aQOgg49</v>
      </c>
      <c r="C15" s="56">
        <f ca="1">IFERROR(__xludf.DUMMYFUNCTION("""COMPUTED_VALUE"""),45943.3518981481)</f>
        <v>45943.351898148103</v>
      </c>
      <c r="D15" s="55" t="str">
        <f ca="1">IFERROR(__xludf.DUMMYFUNCTION("""COMPUTED_VALUE"""),"Ade Tri Nazril Ilham")</f>
        <v>Ade Tri Nazril Ilham</v>
      </c>
      <c r="E15" s="57">
        <f ca="1">IFERROR(__xludf.DUMMYFUNCTION("""COMPUTED_VALUE"""),45941)</f>
        <v>45941</v>
      </c>
      <c r="F15" s="55" t="str">
        <f ca="1">IFERROR(__xludf.DUMMYFUNCTION("""COMPUTED_VALUE"""),"E9334YC")</f>
        <v>E9334YC</v>
      </c>
      <c r="G15" s="55"/>
      <c r="H15" s="55"/>
      <c r="I15" s="55"/>
      <c r="J15" s="55"/>
      <c r="K15" s="55"/>
      <c r="L15" s="55"/>
      <c r="M15" s="55"/>
      <c r="N15" s="57">
        <f ca="1">IFERROR(__xludf.DUMMYFUNCTION("""COMPUTED_VALUE"""),46055)</f>
        <v>46055</v>
      </c>
      <c r="O15" s="57">
        <f ca="1">IFERROR(__xludf.DUMMYFUNCTION("""COMPUTED_VALUE"""),45965)</f>
        <v>45965</v>
      </c>
      <c r="P15" s="55"/>
      <c r="Q15" s="55" t="str">
        <f ca="1">IFERROR(__xludf.DUMMYFUNCTION("""COMPUTED_VALUE"""),"penggantian apar cadangan tanggal 9-10 september 2025")</f>
        <v>penggantian apar cadangan tanggal 9-10 september 2025</v>
      </c>
    </row>
    <row r="16" spans="1:26" ht="13.2" hidden="1">
      <c r="A16" s="55" t="str">
        <f ca="1">IFERROR(__xludf.DUMMYFUNCTION("""COMPUTED_VALUE"""),"J9o44OX")</f>
        <v>J9o44OX</v>
      </c>
      <c r="B16" s="55" t="str">
        <f ca="1">IFERROR(__xludf.DUMMYFUNCTION("""COMPUTED_VALUE"""),"aQOgg49")</f>
        <v>aQOgg49</v>
      </c>
      <c r="C16" s="56">
        <f ca="1">IFERROR(__xludf.DUMMYFUNCTION("""COMPUTED_VALUE"""),45943.3546296296)</f>
        <v>45943.354629629597</v>
      </c>
      <c r="D16" s="55" t="str">
        <f ca="1">IFERROR(__xludf.DUMMYFUNCTION("""COMPUTED_VALUE"""),"Akbar Noeh")</f>
        <v>Akbar Noeh</v>
      </c>
      <c r="E16" s="57">
        <f ca="1">IFERROR(__xludf.DUMMYFUNCTION("""COMPUTED_VALUE"""),45941)</f>
        <v>45941</v>
      </c>
      <c r="F16" s="55" t="str">
        <f ca="1">IFERROR(__xludf.DUMMYFUNCTION("""COMPUTED_VALUE"""),"B9022SFV")</f>
        <v>B9022SFV</v>
      </c>
      <c r="G16" s="55"/>
      <c r="H16" s="55"/>
      <c r="I16" s="55"/>
      <c r="J16" s="57">
        <f ca="1">IFERROR(__xludf.DUMMYFUNCTION("""COMPUTED_VALUE"""),45972)</f>
        <v>45972</v>
      </c>
      <c r="K16" s="55"/>
      <c r="L16" s="55"/>
      <c r="M16" s="55"/>
      <c r="N16" s="57">
        <f ca="1">IFERROR(__xludf.DUMMYFUNCTION("""COMPUTED_VALUE"""),46055)</f>
        <v>46055</v>
      </c>
      <c r="O16" s="55"/>
      <c r="P16" s="55"/>
      <c r="Q16" s="55"/>
    </row>
    <row r="17" spans="1:17" ht="13.2" hidden="1">
      <c r="A17" s="55" t="str">
        <f ca="1">IFERROR(__xludf.DUMMYFUNCTION("""COMPUTED_VALUE"""),"pbz22WJ")</f>
        <v>pbz22WJ</v>
      </c>
      <c r="B17" s="55" t="str">
        <f ca="1">IFERROR(__xludf.DUMMYFUNCTION("""COMPUTED_VALUE"""),"aQOgg49")</f>
        <v>aQOgg49</v>
      </c>
      <c r="C17" s="56">
        <f ca="1">IFERROR(__xludf.DUMMYFUNCTION("""COMPUTED_VALUE"""),45943.3553935185)</f>
        <v>45943.355393518497</v>
      </c>
      <c r="D17" s="55" t="str">
        <f ca="1">IFERROR(__xludf.DUMMYFUNCTION("""COMPUTED_VALUE"""),"Ade Tri Nazril Ilham")</f>
        <v>Ade Tri Nazril Ilham</v>
      </c>
      <c r="E17" s="57">
        <f ca="1">IFERROR(__xludf.DUMMYFUNCTION("""COMPUTED_VALUE"""),45941)</f>
        <v>45941</v>
      </c>
      <c r="F17" s="55" t="str">
        <f ca="1">IFERROR(__xludf.DUMMYFUNCTION("""COMPUTED_VALUE"""),"B9355TFV")</f>
        <v>B9355TFV</v>
      </c>
      <c r="G17" s="55"/>
      <c r="H17" s="55"/>
      <c r="I17" s="55"/>
      <c r="J17" s="55"/>
      <c r="K17" s="55"/>
      <c r="L17" s="55"/>
      <c r="M17" s="55"/>
      <c r="N17" s="57">
        <f ca="1">IFERROR(__xludf.DUMMYFUNCTION("""COMPUTED_VALUE"""),46055)</f>
        <v>46055</v>
      </c>
      <c r="O17" s="57">
        <f ca="1">IFERROR(__xludf.DUMMYFUNCTION("""COMPUTED_VALUE"""),46055)</f>
        <v>46055</v>
      </c>
      <c r="P17" s="55"/>
      <c r="Q17" s="55"/>
    </row>
    <row r="18" spans="1:17" ht="13.2" hidden="1">
      <c r="A18" s="55" t="str">
        <f ca="1">IFERROR(__xludf.DUMMYFUNCTION("""COMPUTED_VALUE"""),"eqzXXpo")</f>
        <v>eqzXXpo</v>
      </c>
      <c r="B18" s="55" t="str">
        <f ca="1">IFERROR(__xludf.DUMMYFUNCTION("""COMPUTED_VALUE"""),"aQOgg49")</f>
        <v>aQOgg49</v>
      </c>
      <c r="C18" s="56">
        <f ca="1">IFERROR(__xludf.DUMMYFUNCTION("""COMPUTED_VALUE"""),45943.3564583333)</f>
        <v>45943.356458333299</v>
      </c>
      <c r="D18" s="55" t="str">
        <f ca="1">IFERROR(__xludf.DUMMYFUNCTION("""COMPUTED_VALUE"""),"Akbar Noeh")</f>
        <v>Akbar Noeh</v>
      </c>
      <c r="E18" s="57">
        <f ca="1">IFERROR(__xludf.DUMMYFUNCTION("""COMPUTED_VALUE"""),45941)</f>
        <v>45941</v>
      </c>
      <c r="F18" s="55" t="str">
        <f ca="1">IFERROR(__xludf.DUMMYFUNCTION("""COMPUTED_VALUE"""),"R9237IH")</f>
        <v>R9237IH</v>
      </c>
      <c r="G18" s="55"/>
      <c r="H18" s="55"/>
      <c r="I18" s="57">
        <f ca="1">IFERROR(__xludf.DUMMYFUNCTION("""COMPUTED_VALUE"""),46005)</f>
        <v>46005</v>
      </c>
      <c r="J18" s="57">
        <f ca="1">IFERROR(__xludf.DUMMYFUNCTION("""COMPUTED_VALUE"""),46005)</f>
        <v>46005</v>
      </c>
      <c r="K18" s="55"/>
      <c r="L18" s="55"/>
      <c r="M18" s="55"/>
      <c r="N18" s="55"/>
      <c r="O18" s="55"/>
      <c r="P18" s="55"/>
      <c r="Q18" s="55"/>
    </row>
    <row r="19" spans="1:17" ht="13.2" hidden="1">
      <c r="A19" s="55" t="str">
        <f ca="1">IFERROR(__xludf.DUMMYFUNCTION("""COMPUTED_VALUE"""),"b5ARB9Z")</f>
        <v>b5ARB9Z</v>
      </c>
      <c r="B19" s="55" t="str">
        <f ca="1">IFERROR(__xludf.DUMMYFUNCTION("""COMPUTED_VALUE"""),"PQRYJQ")</f>
        <v>PQRYJQ</v>
      </c>
      <c r="C19" s="56">
        <f ca="1">IFERROR(__xludf.DUMMYFUNCTION("""COMPUTED_VALUE"""),45951.1774189814)</f>
        <v>45951.177418981402</v>
      </c>
      <c r="D19" s="55" t="str">
        <f ca="1">IFERROR(__xludf.DUMMYFUNCTION("""COMPUTED_VALUE"""),"ARGA NURUL HIDAYAH PUTRA")</f>
        <v>ARGA NURUL HIDAYAH PUTRA</v>
      </c>
      <c r="E19" s="57">
        <f ca="1">IFERROR(__xludf.DUMMYFUNCTION("""COMPUTED_VALUE"""),45951)</f>
        <v>45951</v>
      </c>
      <c r="F19" s="55" t="str">
        <f ca="1">IFERROR(__xludf.DUMMYFUNCTION("""COMPUTED_VALUE"""),"AA8410OP")</f>
        <v>AA8410OP</v>
      </c>
      <c r="G19" s="55"/>
      <c r="H19" s="55"/>
      <c r="I19" s="57">
        <f ca="1">IFERROR(__xludf.DUMMYFUNCTION("""COMPUTED_VALUE"""),46111)</f>
        <v>46111</v>
      </c>
      <c r="J19" s="57">
        <f ca="1">IFERROR(__xludf.DUMMYFUNCTION("""COMPUTED_VALUE"""),46111)</f>
        <v>46111</v>
      </c>
      <c r="K19" s="55"/>
      <c r="L19" s="55"/>
      <c r="M19" s="55"/>
      <c r="N19" s="55"/>
      <c r="O19" s="55"/>
      <c r="P19" s="55"/>
      <c r="Q19" s="55"/>
    </row>
    <row r="20" spans="1:17" ht="13.2" hidden="1">
      <c r="A20" s="55" t="str">
        <f ca="1">IFERROR(__xludf.DUMMYFUNCTION("""COMPUTED_VALUE"""),"EkaVj1N")</f>
        <v>EkaVj1N</v>
      </c>
      <c r="B20" s="55" t="str">
        <f ca="1">IFERROR(__xludf.DUMMYFUNCTION("""COMPUTED_VALUE"""),"PQRYJQ")</f>
        <v>PQRYJQ</v>
      </c>
      <c r="C20" s="56">
        <f ca="1">IFERROR(__xludf.DUMMYFUNCTION("""COMPUTED_VALUE"""),45951.1783333333)</f>
        <v>45951.178333333301</v>
      </c>
      <c r="D20" s="55" t="str">
        <f ca="1">IFERROR(__xludf.DUMMYFUNCTION("""COMPUTED_VALUE"""),"ARGA NURUL HIDAYAH PUTRA")</f>
        <v>ARGA NURUL HIDAYAH PUTRA</v>
      </c>
      <c r="E20" s="57">
        <f ca="1">IFERROR(__xludf.DUMMYFUNCTION("""COMPUTED_VALUE"""),45951)</f>
        <v>45951</v>
      </c>
      <c r="F20" s="55" t="str">
        <f ca="1">IFERROR(__xludf.DUMMYFUNCTION("""COMPUTED_VALUE"""),"B9022SFV")</f>
        <v>B9022SFV</v>
      </c>
      <c r="G20" s="55"/>
      <c r="H20" s="55"/>
      <c r="I20" s="55"/>
      <c r="J20" s="57">
        <f ca="1">IFERROR(__xludf.DUMMYFUNCTION("""COMPUTED_VALUE"""),46111)</f>
        <v>46111</v>
      </c>
      <c r="K20" s="55"/>
      <c r="L20" s="55"/>
      <c r="M20" s="55"/>
      <c r="N20" s="55"/>
      <c r="O20" s="55"/>
      <c r="P20" s="55"/>
      <c r="Q20" s="55"/>
    </row>
    <row r="21" spans="1:17" ht="13.2" hidden="1">
      <c r="A21" s="55" t="str">
        <f ca="1">IFERROR(__xludf.DUMMYFUNCTION("""COMPUTED_VALUE"""),"kdrjDKd")</f>
        <v>kdrjDKd</v>
      </c>
      <c r="B21" s="55" t="str">
        <f ca="1">IFERROR(__xludf.DUMMYFUNCTION("""COMPUTED_VALUE"""),"PQRYJQ")</f>
        <v>PQRYJQ</v>
      </c>
      <c r="C21" s="56">
        <f ca="1">IFERROR(__xludf.DUMMYFUNCTION("""COMPUTED_VALUE"""),45951.1792824074)</f>
        <v>45951.1792824074</v>
      </c>
      <c r="D21" s="55" t="str">
        <f ca="1">IFERROR(__xludf.DUMMYFUNCTION("""COMPUTED_VALUE"""),"ARGA NURUL HIDAYAH PUTRA")</f>
        <v>ARGA NURUL HIDAYAH PUTRA</v>
      </c>
      <c r="E21" s="57">
        <f ca="1">IFERROR(__xludf.DUMMYFUNCTION("""COMPUTED_VALUE"""),45951)</f>
        <v>45951</v>
      </c>
      <c r="F21" s="55" t="str">
        <f ca="1">IFERROR(__xludf.DUMMYFUNCTION("""COMPUTED_VALUE"""),"B9061SFV")</f>
        <v>B9061SFV</v>
      </c>
      <c r="G21" s="55"/>
      <c r="H21" s="55"/>
      <c r="I21" s="55"/>
      <c r="J21" s="57">
        <f ca="1">IFERROR(__xludf.DUMMYFUNCTION("""COMPUTED_VALUE"""),46111)</f>
        <v>46111</v>
      </c>
      <c r="K21" s="55"/>
      <c r="L21" s="55"/>
      <c r="M21" s="55"/>
      <c r="N21" s="55"/>
      <c r="O21" s="55"/>
      <c r="P21" s="55"/>
      <c r="Q21" s="55"/>
    </row>
    <row r="22" spans="1:17" ht="13.2" hidden="1">
      <c r="A22" s="55" t="str">
        <f ca="1">IFERROR(__xludf.DUMMYFUNCTION("""COMPUTED_VALUE"""),"jaE8De1")</f>
        <v>jaE8De1</v>
      </c>
      <c r="B22" s="55" t="str">
        <f ca="1">IFERROR(__xludf.DUMMYFUNCTION("""COMPUTED_VALUE"""),"PQRYJQ")</f>
        <v>PQRYJQ</v>
      </c>
      <c r="C22" s="56">
        <f ca="1">IFERROR(__xludf.DUMMYFUNCTION("""COMPUTED_VALUE"""),45951.1829282407)</f>
        <v>45951.182928240698</v>
      </c>
      <c r="D22" s="55" t="str">
        <f ca="1">IFERROR(__xludf.DUMMYFUNCTION("""COMPUTED_VALUE"""),"ARGA NURUL HIDAYAH PUTRA")</f>
        <v>ARGA NURUL HIDAYAH PUTRA</v>
      </c>
      <c r="E22" s="57">
        <f ca="1">IFERROR(__xludf.DUMMYFUNCTION("""COMPUTED_VALUE"""),45951)</f>
        <v>45951</v>
      </c>
      <c r="F22" s="55" t="str">
        <f ca="1">IFERROR(__xludf.DUMMYFUNCTION("""COMPUTED_VALUE"""),"B9106SEI")</f>
        <v>B9106SEI</v>
      </c>
      <c r="G22" s="55"/>
      <c r="H22" s="55"/>
      <c r="I22" s="57">
        <f ca="1">IFERROR(__xludf.DUMMYFUNCTION("""COMPUTED_VALUE"""),46111)</f>
        <v>46111</v>
      </c>
      <c r="J22" s="57">
        <f ca="1">IFERROR(__xludf.DUMMYFUNCTION("""COMPUTED_VALUE"""),46111)</f>
        <v>46111</v>
      </c>
      <c r="K22" s="55"/>
      <c r="L22" s="55"/>
      <c r="M22" s="55"/>
      <c r="N22" s="55"/>
      <c r="O22" s="55"/>
      <c r="P22" s="55"/>
      <c r="Q22" s="55"/>
    </row>
    <row r="23" spans="1:17" ht="13.2" hidden="1">
      <c r="A23" s="55" t="str">
        <f ca="1">IFERROR(__xludf.DUMMYFUNCTION("""COMPUTED_VALUE"""),"ODVx1AR")</f>
        <v>ODVx1AR</v>
      </c>
      <c r="B23" s="55" t="str">
        <f ca="1">IFERROR(__xludf.DUMMYFUNCTION("""COMPUTED_VALUE"""),"PQRYJQ")</f>
        <v>PQRYJQ</v>
      </c>
      <c r="C23" s="56">
        <f ca="1">IFERROR(__xludf.DUMMYFUNCTION("""COMPUTED_VALUE"""),45951.1841550925)</f>
        <v>45951.184155092502</v>
      </c>
      <c r="D23" s="55" t="str">
        <f ca="1">IFERROR(__xludf.DUMMYFUNCTION("""COMPUTED_VALUE"""),"ARGA NURUL HIDAYAH PUTRA")</f>
        <v>ARGA NURUL HIDAYAH PUTRA</v>
      </c>
      <c r="E23" s="57">
        <f ca="1">IFERROR(__xludf.DUMMYFUNCTION("""COMPUTED_VALUE"""),45951)</f>
        <v>45951</v>
      </c>
      <c r="F23" s="55" t="str">
        <f ca="1">IFERROR(__xludf.DUMMYFUNCTION("""COMPUTED_VALUE"""),"B9290TFV")</f>
        <v>B9290TFV</v>
      </c>
      <c r="G23" s="55"/>
      <c r="H23" s="55"/>
      <c r="I23" s="57">
        <f ca="1">IFERROR(__xludf.DUMMYFUNCTION("""COMPUTED_VALUE"""),46111)</f>
        <v>46111</v>
      </c>
      <c r="J23" s="57">
        <f ca="1">IFERROR(__xludf.DUMMYFUNCTION("""COMPUTED_VALUE"""),46111)</f>
        <v>46111</v>
      </c>
      <c r="K23" s="55"/>
      <c r="L23" s="55"/>
      <c r="M23" s="55"/>
      <c r="N23" s="55"/>
      <c r="O23" s="55"/>
      <c r="P23" s="55"/>
      <c r="Q23" s="55"/>
    </row>
    <row r="24" spans="1:17" ht="13.2" hidden="1">
      <c r="A24" s="55" t="str">
        <f ca="1">IFERROR(__xludf.DUMMYFUNCTION("""COMPUTED_VALUE"""),"9qrAGyX")</f>
        <v>9qrAGyX</v>
      </c>
      <c r="B24" s="55" t="str">
        <f ca="1">IFERROR(__xludf.DUMMYFUNCTION("""COMPUTED_VALUE"""),"QK10zZX")</f>
        <v>QK10zZX</v>
      </c>
      <c r="C24" s="56">
        <f ca="1">IFERROR(__xludf.DUMMYFUNCTION("""COMPUTED_VALUE"""),45951.1866666666)</f>
        <v>45951.186666666603</v>
      </c>
      <c r="D24" s="55" t="str">
        <f ca="1">IFERROR(__xludf.DUMMYFUNCTION("""COMPUTED_VALUE"""),"Hendi Pranata")</f>
        <v>Hendi Pranata</v>
      </c>
      <c r="E24" s="57">
        <f ca="1">IFERROR(__xludf.DUMMYFUNCTION("""COMPUTED_VALUE"""),45951)</f>
        <v>45951</v>
      </c>
      <c r="F24" s="55" t="str">
        <f ca="1">IFERROR(__xludf.DUMMYFUNCTION("""COMPUTED_VALUE"""),"B9234SFV")</f>
        <v>B9234SFV</v>
      </c>
      <c r="G24" s="55"/>
      <c r="H24" s="55"/>
      <c r="I24" s="55"/>
      <c r="J24" s="57">
        <f ca="1">IFERROR(__xludf.DUMMYFUNCTION("""COMPUTED_VALUE"""),46111)</f>
        <v>46111</v>
      </c>
      <c r="K24" s="55"/>
      <c r="L24" s="55"/>
      <c r="M24" s="55"/>
      <c r="N24" s="55"/>
      <c r="O24" s="55"/>
      <c r="P24" s="55"/>
      <c r="Q24" s="55"/>
    </row>
    <row r="25" spans="1:17" ht="13.2" hidden="1">
      <c r="A25" s="55" t="str">
        <f ca="1">IFERROR(__xludf.DUMMYFUNCTION("""COMPUTED_VALUE"""),"PdPZjL1")</f>
        <v>PdPZjL1</v>
      </c>
      <c r="B25" s="55" t="str">
        <f ca="1">IFERROR(__xludf.DUMMYFUNCTION("""COMPUTED_VALUE"""),"PQRYJQ")</f>
        <v>PQRYJQ</v>
      </c>
      <c r="C25" s="56">
        <f ca="1">IFERROR(__xludf.DUMMYFUNCTION("""COMPUTED_VALUE"""),45951.1869444444)</f>
        <v>45951.186944444402</v>
      </c>
      <c r="D25" s="55" t="str">
        <f ca="1">IFERROR(__xludf.DUMMYFUNCTION("""COMPUTED_VALUE"""),"ARGA NURUL HIDAYAH PUTRA")</f>
        <v>ARGA NURUL HIDAYAH PUTRA</v>
      </c>
      <c r="E25" s="57">
        <f ca="1">IFERROR(__xludf.DUMMYFUNCTION("""COMPUTED_VALUE"""),45951)</f>
        <v>45951</v>
      </c>
      <c r="F25" s="55" t="str">
        <f ca="1">IFERROR(__xludf.DUMMYFUNCTION("""COMPUTED_VALUE"""),"B9300TFV")</f>
        <v>B9300TFV</v>
      </c>
      <c r="G25" s="55"/>
      <c r="H25" s="55"/>
      <c r="I25" s="55"/>
      <c r="J25" s="57">
        <f ca="1">IFERROR(__xludf.DUMMYFUNCTION("""COMPUTED_VALUE"""),46111)</f>
        <v>46111</v>
      </c>
      <c r="K25" s="55"/>
      <c r="L25" s="55"/>
      <c r="M25" s="55"/>
      <c r="N25" s="55"/>
      <c r="O25" s="55"/>
      <c r="P25" s="55"/>
      <c r="Q25" s="55"/>
    </row>
    <row r="26" spans="1:17" ht="13.2" hidden="1">
      <c r="A26" s="55" t="str">
        <f ca="1">IFERROR(__xludf.DUMMYFUNCTION("""COMPUTED_VALUE"""),"ODVx1xY")</f>
        <v>ODVx1xY</v>
      </c>
      <c r="B26" s="55" t="str">
        <f ca="1">IFERROR(__xludf.DUMMYFUNCTION("""COMPUTED_VALUE"""),"QK10zZX")</f>
        <v>QK10zZX</v>
      </c>
      <c r="C26" s="56">
        <f ca="1">IFERROR(__xludf.DUMMYFUNCTION("""COMPUTED_VALUE"""),45951.1873842592)</f>
        <v>45951.187384259203</v>
      </c>
      <c r="D26" s="55" t="str">
        <f ca="1">IFERROR(__xludf.DUMMYFUNCTION("""COMPUTED_VALUE"""),"Hendi Pranata")</f>
        <v>Hendi Pranata</v>
      </c>
      <c r="E26" s="57">
        <f ca="1">IFERROR(__xludf.DUMMYFUNCTION("""COMPUTED_VALUE"""),45951)</f>
        <v>45951</v>
      </c>
      <c r="F26" s="55" t="str">
        <f ca="1">IFERROR(__xludf.DUMMYFUNCTION("""COMPUTED_VALUE"""),"R9693B")</f>
        <v>R9693B</v>
      </c>
      <c r="G26" s="55"/>
      <c r="H26" s="55"/>
      <c r="I26" s="57">
        <f ca="1">IFERROR(__xludf.DUMMYFUNCTION("""COMPUTED_VALUE"""),46111)</f>
        <v>46111</v>
      </c>
      <c r="J26" s="57">
        <f ca="1">IFERROR(__xludf.DUMMYFUNCTION("""COMPUTED_VALUE"""),46111)</f>
        <v>46111</v>
      </c>
      <c r="K26" s="55"/>
      <c r="L26" s="55"/>
      <c r="M26" s="55"/>
      <c r="N26" s="55"/>
      <c r="O26" s="55"/>
      <c r="P26" s="55"/>
      <c r="Q26" s="55"/>
    </row>
    <row r="27" spans="1:17" ht="13.2" hidden="1">
      <c r="A27" s="55" t="str">
        <f ca="1">IFERROR(__xludf.DUMMYFUNCTION("""COMPUTED_VALUE"""),"LZo41ev")</f>
        <v>LZo41ev</v>
      </c>
      <c r="B27" s="55" t="str">
        <f ca="1">IFERROR(__xludf.DUMMYFUNCTION("""COMPUTED_VALUE"""),"PQRYJQ")</f>
        <v>PQRYJQ</v>
      </c>
      <c r="C27" s="56">
        <f ca="1">IFERROR(__xludf.DUMMYFUNCTION("""COMPUTED_VALUE"""),45951.1880787037)</f>
        <v>45951.188078703701</v>
      </c>
      <c r="D27" s="55" t="str">
        <f ca="1">IFERROR(__xludf.DUMMYFUNCTION("""COMPUTED_VALUE"""),"ARGA NURUL HIDAYAH PUTRA")</f>
        <v>ARGA NURUL HIDAYAH PUTRA</v>
      </c>
      <c r="E27" s="57">
        <f ca="1">IFERROR(__xludf.DUMMYFUNCTION("""COMPUTED_VALUE"""),45951)</f>
        <v>45951</v>
      </c>
      <c r="F27" s="55" t="str">
        <f ca="1">IFERROR(__xludf.DUMMYFUNCTION("""COMPUTED_VALUE"""),"B9355TFV")</f>
        <v>B9355TFV</v>
      </c>
      <c r="G27" s="55"/>
      <c r="H27" s="55"/>
      <c r="I27" s="57">
        <f ca="1">IFERROR(__xludf.DUMMYFUNCTION("""COMPUTED_VALUE"""),46111)</f>
        <v>46111</v>
      </c>
      <c r="J27" s="57">
        <f ca="1">IFERROR(__xludf.DUMMYFUNCTION("""COMPUTED_VALUE"""),46111)</f>
        <v>46111</v>
      </c>
      <c r="K27" s="55"/>
      <c r="L27" s="55"/>
      <c r="M27" s="55"/>
      <c r="N27" s="55"/>
      <c r="O27" s="55"/>
      <c r="P27" s="55"/>
      <c r="Q27" s="55"/>
    </row>
    <row r="28" spans="1:17" ht="13.2" hidden="1">
      <c r="A28" s="55" t="str">
        <f ca="1">IFERROR(__xludf.DUMMYFUNCTION("""COMPUTED_VALUE"""),"RGrqKOd")</f>
        <v>RGrqKOd</v>
      </c>
      <c r="B28" s="55" t="str">
        <f ca="1">IFERROR(__xludf.DUMMYFUNCTION("""COMPUTED_VALUE"""),"QK10zZX")</f>
        <v>QK10zZX</v>
      </c>
      <c r="C28" s="56">
        <f ca="1">IFERROR(__xludf.DUMMYFUNCTION("""COMPUTED_VALUE"""),45951.1881481481)</f>
        <v>45951.188148148103</v>
      </c>
      <c r="D28" s="55" t="str">
        <f ca="1">IFERROR(__xludf.DUMMYFUNCTION("""COMPUTED_VALUE"""),"Hendi Pranata")</f>
        <v>Hendi Pranata</v>
      </c>
      <c r="E28" s="57">
        <f ca="1">IFERROR(__xludf.DUMMYFUNCTION("""COMPUTED_VALUE"""),45951)</f>
        <v>45951</v>
      </c>
      <c r="F28" s="55" t="str">
        <f ca="1">IFERROR(__xludf.DUMMYFUNCTION("""COMPUTED_VALUE"""),"R9839BR")</f>
        <v>R9839BR</v>
      </c>
      <c r="G28" s="55"/>
      <c r="H28" s="55"/>
      <c r="I28" s="57">
        <f ca="1">IFERROR(__xludf.DUMMYFUNCTION("""COMPUTED_VALUE"""),46111)</f>
        <v>46111</v>
      </c>
      <c r="J28" s="57">
        <f ca="1">IFERROR(__xludf.DUMMYFUNCTION("""COMPUTED_VALUE"""),46111)</f>
        <v>46111</v>
      </c>
      <c r="K28" s="55"/>
      <c r="L28" s="55"/>
      <c r="M28" s="55"/>
      <c r="N28" s="55"/>
      <c r="O28" s="55"/>
      <c r="P28" s="55"/>
      <c r="Q28" s="55"/>
    </row>
    <row r="29" spans="1:17" ht="13.2" hidden="1">
      <c r="A29" s="55" t="str">
        <f ca="1">IFERROR(__xludf.DUMMYFUNCTION("""COMPUTED_VALUE"""),"vGW8joQ")</f>
        <v>vGW8joQ</v>
      </c>
      <c r="B29" s="55" t="str">
        <f ca="1">IFERROR(__xludf.DUMMYFUNCTION("""COMPUTED_VALUE"""),"PQRYJQ")</f>
        <v>PQRYJQ</v>
      </c>
      <c r="C29" s="56">
        <f ca="1">IFERROR(__xludf.DUMMYFUNCTION("""COMPUTED_VALUE"""),45951.1885300925)</f>
        <v>45951.188530092499</v>
      </c>
      <c r="D29" s="55" t="str">
        <f ca="1">IFERROR(__xludf.DUMMYFUNCTION("""COMPUTED_VALUE"""),"ARGA NURUL HIDAYAH PUTRA")</f>
        <v>ARGA NURUL HIDAYAH PUTRA</v>
      </c>
      <c r="E29" s="57">
        <f ca="1">IFERROR(__xludf.DUMMYFUNCTION("""COMPUTED_VALUE"""),45951)</f>
        <v>45951</v>
      </c>
      <c r="F29" s="55" t="str">
        <f ca="1">IFERROR(__xludf.DUMMYFUNCTION("""COMPUTED_VALUE"""),"B9376TFV")</f>
        <v>B9376TFV</v>
      </c>
      <c r="G29" s="55"/>
      <c r="H29" s="55"/>
      <c r="I29" s="57">
        <f ca="1">IFERROR(__xludf.DUMMYFUNCTION("""COMPUTED_VALUE"""),46111)</f>
        <v>46111</v>
      </c>
      <c r="J29" s="55"/>
      <c r="K29" s="55"/>
      <c r="L29" s="55"/>
      <c r="M29" s="55"/>
      <c r="N29" s="55"/>
      <c r="O29" s="55"/>
      <c r="P29" s="55"/>
      <c r="Q29" s="55"/>
    </row>
    <row r="30" spans="1:17" ht="13.2" hidden="1">
      <c r="A30" s="55" t="str">
        <f ca="1">IFERROR(__xludf.DUMMYFUNCTION("""COMPUTED_VALUE"""),"lb48bb5")</f>
        <v>lb48bb5</v>
      </c>
      <c r="B30" s="55" t="str">
        <f ca="1">IFERROR(__xludf.DUMMYFUNCTION("""COMPUTED_VALUE"""),"PQRYJQ")</f>
        <v>PQRYJQ</v>
      </c>
      <c r="C30" s="56">
        <f ca="1">IFERROR(__xludf.DUMMYFUNCTION("""COMPUTED_VALUE"""),45951.1890046296)</f>
        <v>45951.189004629603</v>
      </c>
      <c r="D30" s="55" t="str">
        <f ca="1">IFERROR(__xludf.DUMMYFUNCTION("""COMPUTED_VALUE"""),"ARGA NURUL HIDAYAH PUTRA")</f>
        <v>ARGA NURUL HIDAYAH PUTRA</v>
      </c>
      <c r="E30" s="57">
        <f ca="1">IFERROR(__xludf.DUMMYFUNCTION("""COMPUTED_VALUE"""),45951)</f>
        <v>45951</v>
      </c>
      <c r="F30" s="55" t="str">
        <f ca="1">IFERROR(__xludf.DUMMYFUNCTION("""COMPUTED_VALUE"""),"B9378TFV")</f>
        <v>B9378TFV</v>
      </c>
      <c r="G30" s="55"/>
      <c r="H30" s="55"/>
      <c r="I30" s="57">
        <f ca="1">IFERROR(__xludf.DUMMYFUNCTION("""COMPUTED_VALUE"""),46111)</f>
        <v>46111</v>
      </c>
      <c r="J30" s="57">
        <f ca="1">IFERROR(__xludf.DUMMYFUNCTION("""COMPUTED_VALUE"""),46111)</f>
        <v>46111</v>
      </c>
      <c r="K30" s="55"/>
      <c r="L30" s="55"/>
      <c r="M30" s="55"/>
      <c r="N30" s="55"/>
      <c r="O30" s="55"/>
      <c r="P30" s="55"/>
      <c r="Q30" s="55"/>
    </row>
    <row r="31" spans="1:17" ht="13.2" hidden="1">
      <c r="A31" s="55" t="str">
        <f ca="1">IFERROR(__xludf.DUMMYFUNCTION("""COMPUTED_VALUE"""),"68V68e5")</f>
        <v>68V68e5</v>
      </c>
      <c r="B31" s="55" t="str">
        <f ca="1">IFERROR(__xludf.DUMMYFUNCTION("""COMPUTED_VALUE"""),"QK10zZX")</f>
        <v>QK10zZX</v>
      </c>
      <c r="C31" s="56">
        <f ca="1">IFERROR(__xludf.DUMMYFUNCTION("""COMPUTED_VALUE"""),45951.1894328703)</f>
        <v>45951.189432870298</v>
      </c>
      <c r="D31" s="55" t="str">
        <f ca="1">IFERROR(__xludf.DUMMYFUNCTION("""COMPUTED_VALUE"""),"Hendi Pranata")</f>
        <v>Hendi Pranata</v>
      </c>
      <c r="E31" s="57">
        <f ca="1">IFERROR(__xludf.DUMMYFUNCTION("""COMPUTED_VALUE"""),45951)</f>
        <v>45951</v>
      </c>
      <c r="F31" s="55" t="str">
        <f ca="1">IFERROR(__xludf.DUMMYFUNCTION("""COMPUTED_VALUE"""),"R9675B")</f>
        <v>R9675B</v>
      </c>
      <c r="G31" s="55"/>
      <c r="H31" s="55"/>
      <c r="I31" s="57">
        <f ca="1">IFERROR(__xludf.DUMMYFUNCTION("""COMPUTED_VALUE"""),46111)</f>
        <v>46111</v>
      </c>
      <c r="J31" s="57">
        <f ca="1">IFERROR(__xludf.DUMMYFUNCTION("""COMPUTED_VALUE"""),46111)</f>
        <v>46111</v>
      </c>
      <c r="K31" s="55"/>
      <c r="L31" s="55"/>
      <c r="M31" s="55"/>
      <c r="N31" s="55"/>
      <c r="O31" s="55"/>
      <c r="P31" s="55"/>
      <c r="Q31" s="55"/>
    </row>
    <row r="32" spans="1:17" ht="13.2" hidden="1">
      <c r="A32" s="55" t="str">
        <f ca="1">IFERROR(__xludf.DUMMYFUNCTION("""COMPUTED_VALUE"""),"44Gl47o")</f>
        <v>44Gl47o</v>
      </c>
      <c r="B32" s="55" t="str">
        <f ca="1">IFERROR(__xludf.DUMMYFUNCTION("""COMPUTED_VALUE"""),"PQRYJQ")</f>
        <v>PQRYJQ</v>
      </c>
      <c r="C32" s="56">
        <f ca="1">IFERROR(__xludf.DUMMYFUNCTION("""COMPUTED_VALUE"""),45951.1896643518)</f>
        <v>45951.189664351798</v>
      </c>
      <c r="D32" s="55" t="str">
        <f ca="1">IFERROR(__xludf.DUMMYFUNCTION("""COMPUTED_VALUE"""),"ARGA NURUL HIDAYAH PUTRA")</f>
        <v>ARGA NURUL HIDAYAH PUTRA</v>
      </c>
      <c r="E32" s="57">
        <f ca="1">IFERROR(__xludf.DUMMYFUNCTION("""COMPUTED_VALUE"""),45951)</f>
        <v>45951</v>
      </c>
      <c r="F32" s="55" t="str">
        <f ca="1">IFERROR(__xludf.DUMMYFUNCTION("""COMPUTED_VALUE"""),"B9505TEI")</f>
        <v>B9505TEI</v>
      </c>
      <c r="G32" s="55"/>
      <c r="H32" s="55"/>
      <c r="I32" s="55"/>
      <c r="J32" s="57">
        <f ca="1">IFERROR(__xludf.DUMMYFUNCTION("""COMPUTED_VALUE"""),46111)</f>
        <v>46111</v>
      </c>
      <c r="K32" s="55"/>
      <c r="L32" s="55"/>
      <c r="M32" s="55"/>
      <c r="N32" s="55"/>
      <c r="O32" s="55"/>
      <c r="P32" s="55"/>
      <c r="Q32" s="55"/>
    </row>
    <row r="33" spans="1:17" ht="13.2" hidden="1">
      <c r="A33" s="55" t="str">
        <f ca="1">IFERROR(__xludf.DUMMYFUNCTION("""COMPUTED_VALUE"""),"aQlpQ2W")</f>
        <v>aQlpQ2W</v>
      </c>
      <c r="B33" s="55" t="str">
        <f ca="1">IFERROR(__xludf.DUMMYFUNCTION("""COMPUTED_VALUE"""),"QK10zZX")</f>
        <v>QK10zZX</v>
      </c>
      <c r="C33" s="56">
        <f ca="1">IFERROR(__xludf.DUMMYFUNCTION("""COMPUTED_VALUE"""),45951.1898842592)</f>
        <v>45951.189884259198</v>
      </c>
      <c r="D33" s="55" t="str">
        <f ca="1">IFERROR(__xludf.DUMMYFUNCTION("""COMPUTED_VALUE"""),"Hendi Pranata")</f>
        <v>Hendi Pranata</v>
      </c>
      <c r="E33" s="57">
        <f ca="1">IFERROR(__xludf.DUMMYFUNCTION("""COMPUTED_VALUE"""),45951)</f>
        <v>45951</v>
      </c>
      <c r="F33" s="55" t="str">
        <f ca="1">IFERROR(__xludf.DUMMYFUNCTION("""COMPUTED_VALUE"""),"H9155OF")</f>
        <v>H9155OF</v>
      </c>
      <c r="G33" s="55"/>
      <c r="H33" s="55"/>
      <c r="I33" s="57">
        <f ca="1">IFERROR(__xludf.DUMMYFUNCTION("""COMPUTED_VALUE"""),46111)</f>
        <v>46111</v>
      </c>
      <c r="J33" s="57">
        <f ca="1">IFERROR(__xludf.DUMMYFUNCTION("""COMPUTED_VALUE"""),46111)</f>
        <v>46111</v>
      </c>
      <c r="K33" s="55"/>
      <c r="L33" s="55"/>
      <c r="M33" s="55"/>
      <c r="N33" s="55"/>
      <c r="O33" s="55"/>
      <c r="P33" s="55"/>
      <c r="Q33" s="55"/>
    </row>
    <row r="34" spans="1:17" ht="13.2" hidden="1">
      <c r="A34" s="55" t="str">
        <f ca="1">IFERROR(__xludf.DUMMYFUNCTION("""COMPUTED_VALUE"""),"5BOaBzQ")</f>
        <v>5BOaBzQ</v>
      </c>
      <c r="B34" s="55" t="str">
        <f ca="1">IFERROR(__xludf.DUMMYFUNCTION("""COMPUTED_VALUE"""),"PQRYJQ")</f>
        <v>PQRYJQ</v>
      </c>
      <c r="C34" s="56">
        <f ca="1">IFERROR(__xludf.DUMMYFUNCTION("""COMPUTED_VALUE"""),45951.1903125)</f>
        <v>45951.190312500003</v>
      </c>
      <c r="D34" s="55" t="str">
        <f ca="1">IFERROR(__xludf.DUMMYFUNCTION("""COMPUTED_VALUE"""),"ARGA NURUL HIDAYAH PUTRA")</f>
        <v>ARGA NURUL HIDAYAH PUTRA</v>
      </c>
      <c r="E34" s="57">
        <f ca="1">IFERROR(__xludf.DUMMYFUNCTION("""COMPUTED_VALUE"""),45951)</f>
        <v>45951</v>
      </c>
      <c r="F34" s="55" t="str">
        <f ca="1">IFERROR(__xludf.DUMMYFUNCTION("""COMPUTED_VALUE"""),"B9520TEI")</f>
        <v>B9520TEI</v>
      </c>
      <c r="G34" s="55"/>
      <c r="H34" s="55"/>
      <c r="I34" s="57">
        <f ca="1">IFERROR(__xludf.DUMMYFUNCTION("""COMPUTED_VALUE"""),46111)</f>
        <v>46111</v>
      </c>
      <c r="J34" s="57">
        <f ca="1">IFERROR(__xludf.DUMMYFUNCTION("""COMPUTED_VALUE"""),46111)</f>
        <v>46111</v>
      </c>
      <c r="K34" s="55"/>
      <c r="L34" s="55"/>
      <c r="M34" s="55"/>
      <c r="N34" s="55"/>
      <c r="O34" s="55"/>
      <c r="P34" s="55"/>
      <c r="Q34" s="55"/>
    </row>
    <row r="35" spans="1:17" ht="13.2" hidden="1">
      <c r="A35" s="55" t="str">
        <f ca="1">IFERROR(__xludf.DUMMYFUNCTION("""COMPUTED_VALUE"""),"7RP7RDa")</f>
        <v>7RP7RDa</v>
      </c>
      <c r="B35" s="55" t="str">
        <f ca="1">IFERROR(__xludf.DUMMYFUNCTION("""COMPUTED_VALUE"""),"QK10zZX")</f>
        <v>QK10zZX</v>
      </c>
      <c r="C35" s="56">
        <f ca="1">IFERROR(__xludf.DUMMYFUNCTION("""COMPUTED_VALUE"""),45951.1905902777)</f>
        <v>45951.1905902777</v>
      </c>
      <c r="D35" s="55" t="str">
        <f ca="1">IFERROR(__xludf.DUMMYFUNCTION("""COMPUTED_VALUE"""),"Hendi Pranata")</f>
        <v>Hendi Pranata</v>
      </c>
      <c r="E35" s="57">
        <f ca="1">IFERROR(__xludf.DUMMYFUNCTION("""COMPUTED_VALUE"""),45951)</f>
        <v>45951</v>
      </c>
      <c r="F35" s="55" t="str">
        <f ca="1">IFERROR(__xludf.DUMMYFUNCTION("""COMPUTED_VALUE"""),"E9560YB")</f>
        <v>E9560YB</v>
      </c>
      <c r="G35" s="55"/>
      <c r="H35" s="55"/>
      <c r="I35" s="57">
        <f ca="1">IFERROR(__xludf.DUMMYFUNCTION("""COMPUTED_VALUE"""),46111)</f>
        <v>46111</v>
      </c>
      <c r="J35" s="57">
        <f ca="1">IFERROR(__xludf.DUMMYFUNCTION("""COMPUTED_VALUE"""),46111)</f>
        <v>46111</v>
      </c>
      <c r="K35" s="55"/>
      <c r="L35" s="55"/>
      <c r="M35" s="55"/>
      <c r="N35" s="55"/>
      <c r="O35" s="55"/>
      <c r="P35" s="55"/>
      <c r="Q35" s="55"/>
    </row>
    <row r="36" spans="1:17" ht="13.2" hidden="1">
      <c r="A36" s="55" t="str">
        <f ca="1">IFERROR(__xludf.DUMMYFUNCTION("""COMPUTED_VALUE"""),"PdPZdYB")</f>
        <v>PdPZdYB</v>
      </c>
      <c r="B36" s="55" t="str">
        <f ca="1">IFERROR(__xludf.DUMMYFUNCTION("""COMPUTED_VALUE"""),"PQRYJQ")</f>
        <v>PQRYJQ</v>
      </c>
      <c r="C36" s="56">
        <f ca="1">IFERROR(__xludf.DUMMYFUNCTION("""COMPUTED_VALUE"""),45951.1909606481)</f>
        <v>45951.190960648099</v>
      </c>
      <c r="D36" s="55" t="str">
        <f ca="1">IFERROR(__xludf.DUMMYFUNCTION("""COMPUTED_VALUE"""),"ARGA NURUL HIDAYAH PUTRA")</f>
        <v>ARGA NURUL HIDAYAH PUTRA</v>
      </c>
      <c r="E36" s="57">
        <f ca="1">IFERROR(__xludf.DUMMYFUNCTION("""COMPUTED_VALUE"""),45951)</f>
        <v>45951</v>
      </c>
      <c r="F36" s="55" t="str">
        <f ca="1">IFERROR(__xludf.DUMMYFUNCTION("""COMPUTED_VALUE"""),"B9570SEI")</f>
        <v>B9570SEI</v>
      </c>
      <c r="G36" s="55"/>
      <c r="H36" s="55"/>
      <c r="I36" s="57">
        <f ca="1">IFERROR(__xludf.DUMMYFUNCTION("""COMPUTED_VALUE"""),46111)</f>
        <v>46111</v>
      </c>
      <c r="J36" s="55"/>
      <c r="K36" s="55"/>
      <c r="L36" s="55"/>
      <c r="M36" s="55"/>
      <c r="N36" s="55"/>
      <c r="O36" s="55"/>
      <c r="P36" s="55"/>
      <c r="Q36" s="55"/>
    </row>
    <row r="37" spans="1:17" ht="13.2" hidden="1">
      <c r="A37" s="55" t="str">
        <f ca="1">IFERROR(__xludf.DUMMYFUNCTION("""COMPUTED_VALUE"""),"81Eb1PP")</f>
        <v>81Eb1PP</v>
      </c>
      <c r="B37" s="55" t="str">
        <f ca="1">IFERROR(__xludf.DUMMYFUNCTION("""COMPUTED_VALUE"""),"QK10zZX")</f>
        <v>QK10zZX</v>
      </c>
      <c r="C37" s="56">
        <f ca="1">IFERROR(__xludf.DUMMYFUNCTION("""COMPUTED_VALUE"""),45951.191099537)</f>
        <v>45951.191099536998</v>
      </c>
      <c r="D37" s="55" t="str">
        <f ca="1">IFERROR(__xludf.DUMMYFUNCTION("""COMPUTED_VALUE"""),"Hendi Pranata")</f>
        <v>Hendi Pranata</v>
      </c>
      <c r="E37" s="57">
        <f ca="1">IFERROR(__xludf.DUMMYFUNCTION("""COMPUTED_VALUE"""),45951)</f>
        <v>45951</v>
      </c>
      <c r="F37" s="55" t="str">
        <f ca="1">IFERROR(__xludf.DUMMYFUNCTION("""COMPUTED_VALUE"""),"E9493YC")</f>
        <v>E9493YC</v>
      </c>
      <c r="G37" s="55"/>
      <c r="H37" s="55"/>
      <c r="I37" s="57">
        <f ca="1">IFERROR(__xludf.DUMMYFUNCTION("""COMPUTED_VALUE"""),46111)</f>
        <v>46111</v>
      </c>
      <c r="J37" s="55"/>
      <c r="K37" s="55"/>
      <c r="L37" s="55"/>
      <c r="M37" s="55"/>
      <c r="N37" s="55"/>
      <c r="O37" s="55"/>
      <c r="P37" s="55"/>
      <c r="Q37" s="55"/>
    </row>
    <row r="38" spans="1:17" ht="13.2" hidden="1">
      <c r="A38" s="55" t="str">
        <f ca="1">IFERROR(__xludf.DUMMYFUNCTION("""COMPUTED_VALUE"""),"5BOaB86")</f>
        <v>5BOaB86</v>
      </c>
      <c r="B38" s="55" t="str">
        <f ca="1">IFERROR(__xludf.DUMMYFUNCTION("""COMPUTED_VALUE"""),"QK10zZX")</f>
        <v>QK10zZX</v>
      </c>
      <c r="C38" s="56">
        <f ca="1">IFERROR(__xludf.DUMMYFUNCTION("""COMPUTED_VALUE"""),45951.191724537)</f>
        <v>45951.191724536999</v>
      </c>
      <c r="D38" s="55" t="str">
        <f ca="1">IFERROR(__xludf.DUMMYFUNCTION("""COMPUTED_VALUE"""),"Hendi Pranata")</f>
        <v>Hendi Pranata</v>
      </c>
      <c r="E38" s="57">
        <f ca="1">IFERROR(__xludf.DUMMYFUNCTION("""COMPUTED_VALUE"""),45951)</f>
        <v>45951</v>
      </c>
      <c r="F38" s="55" t="str">
        <f ca="1">IFERROR(__xludf.DUMMYFUNCTION("""COMPUTED_VALUE"""),"E9454YB")</f>
        <v>E9454YB</v>
      </c>
      <c r="G38" s="55"/>
      <c r="H38" s="55"/>
      <c r="I38" s="57">
        <f ca="1">IFERROR(__xludf.DUMMYFUNCTION("""COMPUTED_VALUE"""),46111)</f>
        <v>46111</v>
      </c>
      <c r="J38" s="57">
        <f ca="1">IFERROR(__xludf.DUMMYFUNCTION("""COMPUTED_VALUE"""),46111)</f>
        <v>46111</v>
      </c>
      <c r="K38" s="55"/>
      <c r="L38" s="55"/>
      <c r="M38" s="55"/>
      <c r="N38" s="55"/>
      <c r="O38" s="55"/>
      <c r="P38" s="55"/>
      <c r="Q38" s="55"/>
    </row>
    <row r="39" spans="1:17" ht="13.2" hidden="1">
      <c r="A39" s="55" t="str">
        <f ca="1">IFERROR(__xludf.DUMMYFUNCTION("""COMPUTED_VALUE"""),"aQlpQk9")</f>
        <v>aQlpQk9</v>
      </c>
      <c r="B39" s="55" t="str">
        <f ca="1">IFERROR(__xludf.DUMMYFUNCTION("""COMPUTED_VALUE"""),"QK10zZX")</f>
        <v>QK10zZX</v>
      </c>
      <c r="C39" s="56">
        <f ca="1">IFERROR(__xludf.DUMMYFUNCTION("""COMPUTED_VALUE"""),45951.1924768518)</f>
        <v>45951.1924768518</v>
      </c>
      <c r="D39" s="55" t="str">
        <f ca="1">IFERROR(__xludf.DUMMYFUNCTION("""COMPUTED_VALUE"""),"Hendi Pranata")</f>
        <v>Hendi Pranata</v>
      </c>
      <c r="E39" s="57">
        <f ca="1">IFERROR(__xludf.DUMMYFUNCTION("""COMPUTED_VALUE"""),45951)</f>
        <v>45951</v>
      </c>
      <c r="F39" s="55" t="str">
        <f ca="1">IFERROR(__xludf.DUMMYFUNCTION("""COMPUTED_VALUE"""),"E9453YC")</f>
        <v>E9453YC</v>
      </c>
      <c r="G39" s="55"/>
      <c r="H39" s="55"/>
      <c r="I39" s="57">
        <f ca="1">IFERROR(__xludf.DUMMYFUNCTION("""COMPUTED_VALUE"""),46111)</f>
        <v>46111</v>
      </c>
      <c r="J39" s="57">
        <f ca="1">IFERROR(__xludf.DUMMYFUNCTION("""COMPUTED_VALUE"""),46111)</f>
        <v>46111</v>
      </c>
      <c r="K39" s="55"/>
      <c r="L39" s="55"/>
      <c r="M39" s="55"/>
      <c r="N39" s="55"/>
      <c r="O39" s="55"/>
      <c r="P39" s="55"/>
      <c r="Q39" s="55"/>
    </row>
    <row r="40" spans="1:17" ht="13.2" hidden="1">
      <c r="A40" s="55" t="str">
        <f ca="1">IFERROR(__xludf.DUMMYFUNCTION("""COMPUTED_VALUE"""),"Y5q757v")</f>
        <v>Y5q757v</v>
      </c>
      <c r="B40" s="55" t="str">
        <f ca="1">IFERROR(__xludf.DUMMYFUNCTION("""COMPUTED_VALUE"""),"QK10zZX")</f>
        <v>QK10zZX</v>
      </c>
      <c r="C40" s="56">
        <f ca="1">IFERROR(__xludf.DUMMYFUNCTION("""COMPUTED_VALUE"""),45951.1936689814)</f>
        <v>45951.193668981403</v>
      </c>
      <c r="D40" s="55" t="str">
        <f ca="1">IFERROR(__xludf.DUMMYFUNCTION("""COMPUTED_VALUE"""),"Hendi Pranata")</f>
        <v>Hendi Pranata</v>
      </c>
      <c r="E40" s="57">
        <f ca="1">IFERROR(__xludf.DUMMYFUNCTION("""COMPUTED_VALUE"""),45951)</f>
        <v>45951</v>
      </c>
      <c r="F40" s="55" t="str">
        <f ca="1">IFERROR(__xludf.DUMMYFUNCTION("""COMPUTED_VALUE"""),"E9496YC")</f>
        <v>E9496YC</v>
      </c>
      <c r="G40" s="55"/>
      <c r="H40" s="55"/>
      <c r="I40" s="57">
        <f ca="1">IFERROR(__xludf.DUMMYFUNCTION("""COMPUTED_VALUE"""),46111)</f>
        <v>46111</v>
      </c>
      <c r="J40" s="57">
        <f ca="1">IFERROR(__xludf.DUMMYFUNCTION("""COMPUTED_VALUE"""),46111)</f>
        <v>46111</v>
      </c>
      <c r="K40" s="55"/>
      <c r="L40" s="55"/>
      <c r="M40" s="55"/>
      <c r="N40" s="55"/>
      <c r="O40" s="55"/>
      <c r="P40" s="55"/>
      <c r="Q40" s="55"/>
    </row>
    <row r="41" spans="1:17" ht="13.2" hidden="1">
      <c r="A41" s="55" t="str">
        <f ca="1">IFERROR(__xludf.DUMMYFUNCTION("""COMPUTED_VALUE"""),"kdr8d2o")</f>
        <v>kdr8d2o</v>
      </c>
      <c r="B41" s="55" t="str">
        <f ca="1">IFERROR(__xludf.DUMMYFUNCTION("""COMPUTED_VALUE"""),"QK10zZX")</f>
        <v>QK10zZX</v>
      </c>
      <c r="C41" s="56">
        <f ca="1">IFERROR(__xludf.DUMMYFUNCTION("""COMPUTED_VALUE"""),45951.1941782407)</f>
        <v>45951.194178240701</v>
      </c>
      <c r="D41" s="55" t="str">
        <f ca="1">IFERROR(__xludf.DUMMYFUNCTION("""COMPUTED_VALUE"""),"Hendi Pranata")</f>
        <v>Hendi Pranata</v>
      </c>
      <c r="E41" s="57">
        <f ca="1">IFERROR(__xludf.DUMMYFUNCTION("""COMPUTED_VALUE"""),45951)</f>
        <v>45951</v>
      </c>
      <c r="F41" s="55" t="str">
        <f ca="1">IFERROR(__xludf.DUMMYFUNCTION("""COMPUTED_VALUE"""),"E9334YC")</f>
        <v>E9334YC</v>
      </c>
      <c r="G41" s="55"/>
      <c r="H41" s="55"/>
      <c r="I41" s="57">
        <f ca="1">IFERROR(__xludf.DUMMYFUNCTION("""COMPUTED_VALUE"""),46111)</f>
        <v>46111</v>
      </c>
      <c r="J41" s="57">
        <f ca="1">IFERROR(__xludf.DUMMYFUNCTION("""COMPUTED_VALUE"""),46111)</f>
        <v>46111</v>
      </c>
      <c r="K41" s="55"/>
      <c r="L41" s="55"/>
      <c r="M41" s="55"/>
      <c r="N41" s="55"/>
      <c r="O41" s="55"/>
      <c r="P41" s="55"/>
      <c r="Q41" s="55"/>
    </row>
    <row r="42" spans="1:17" ht="13.2" hidden="1">
      <c r="A42" s="55" t="str">
        <f ca="1">IFERROR(__xludf.DUMMYFUNCTION("""COMPUTED_VALUE"""),"PdPZRLQ")</f>
        <v>PdPZRLQ</v>
      </c>
      <c r="B42" s="55" t="str">
        <f ca="1">IFERROR(__xludf.DUMMYFUNCTION("""COMPUTED_VALUE"""),"PQRYJQ")</f>
        <v>PQRYJQ</v>
      </c>
      <c r="C42" s="56">
        <f ca="1">IFERROR(__xludf.DUMMYFUNCTION("""COMPUTED_VALUE"""),45951.1989351851)</f>
        <v>45951.198935185101</v>
      </c>
      <c r="D42" s="55" t="str">
        <f ca="1">IFERROR(__xludf.DUMMYFUNCTION("""COMPUTED_VALUE"""),"ARGA NURUL HIDAYAH PUTRA")</f>
        <v>ARGA NURUL HIDAYAH PUTRA</v>
      </c>
      <c r="E42" s="57">
        <f ca="1">IFERROR(__xludf.DUMMYFUNCTION("""COMPUTED_VALUE"""),45951)</f>
        <v>45951</v>
      </c>
      <c r="F42" s="55" t="str">
        <f ca="1">IFERROR(__xludf.DUMMYFUNCTION("""COMPUTED_VALUE"""),"B9805SFU")</f>
        <v>B9805SFU</v>
      </c>
      <c r="G42" s="55"/>
      <c r="H42" s="55"/>
      <c r="I42" s="57">
        <f ca="1">IFERROR(__xludf.DUMMYFUNCTION("""COMPUTED_VALUE"""),46111)</f>
        <v>46111</v>
      </c>
      <c r="J42" s="57">
        <f ca="1">IFERROR(__xludf.DUMMYFUNCTION("""COMPUTED_VALUE"""),46111)</f>
        <v>46111</v>
      </c>
      <c r="K42" s="55"/>
      <c r="L42" s="55"/>
      <c r="M42" s="55"/>
      <c r="N42" s="55"/>
      <c r="O42" s="55"/>
      <c r="P42" s="55"/>
      <c r="Q42" s="55"/>
    </row>
    <row r="43" spans="1:17" ht="13.2" hidden="1">
      <c r="A43" s="55" t="str">
        <f ca="1">IFERROR(__xludf.DUMMYFUNCTION("""COMPUTED_VALUE"""),"WOZygVj")</f>
        <v>WOZygVj</v>
      </c>
      <c r="B43" s="55" t="str">
        <f ca="1">IFERROR(__xludf.DUMMYFUNCTION("""COMPUTED_VALUE"""),"eo4Jbe")</f>
        <v>eo4Jbe</v>
      </c>
      <c r="C43" s="56">
        <f ca="1">IFERROR(__xludf.DUMMYFUNCTION("""COMPUTED_VALUE"""),45952.1563888888)</f>
        <v>45952.156388888798</v>
      </c>
      <c r="D43" s="55" t="str">
        <f ca="1">IFERROR(__xludf.DUMMYFUNCTION("""COMPUTED_VALUE"""),"Sahrul Dwi Julianto")</f>
        <v>Sahrul Dwi Julianto</v>
      </c>
      <c r="E43" s="57">
        <f ca="1">IFERROR(__xludf.DUMMYFUNCTION("""COMPUTED_VALUE"""),45952)</f>
        <v>45952</v>
      </c>
      <c r="F43" s="55" t="str">
        <f ca="1">IFERROR(__xludf.DUMMYFUNCTION("""COMPUTED_VALUE"""),"B9077SEI")</f>
        <v>B9077SEI</v>
      </c>
      <c r="G43" s="57">
        <f ca="1">IFERROR(__xludf.DUMMYFUNCTION("""COMPUTED_VALUE"""),46053)</f>
        <v>46053</v>
      </c>
      <c r="H43" s="57">
        <f ca="1">IFERROR(__xludf.DUMMYFUNCTION("""COMPUTED_VALUE"""),46053)</f>
        <v>46053</v>
      </c>
      <c r="I43" s="57">
        <f ca="1">IFERROR(__xludf.DUMMYFUNCTION("""COMPUTED_VALUE"""),46053)</f>
        <v>46053</v>
      </c>
      <c r="J43" s="57">
        <f ca="1">IFERROR(__xludf.DUMMYFUNCTION("""COMPUTED_VALUE"""),46053)</f>
        <v>46053</v>
      </c>
      <c r="K43" s="55"/>
      <c r="L43" s="55"/>
      <c r="M43" s="55"/>
      <c r="N43" s="55"/>
      <c r="O43" s="55"/>
      <c r="P43" s="55"/>
      <c r="Q43" s="55"/>
    </row>
    <row r="44" spans="1:17" ht="13.2" hidden="1">
      <c r="A44" s="55" t="str">
        <f ca="1">IFERROR(__xludf.DUMMYFUNCTION("""COMPUTED_VALUE"""),"81E7Kpz")</f>
        <v>81E7Kpz</v>
      </c>
      <c r="B44" s="55" t="str">
        <f ca="1">IFERROR(__xludf.DUMMYFUNCTION("""COMPUTED_VALUE"""),"eo4Jbe")</f>
        <v>eo4Jbe</v>
      </c>
      <c r="C44" s="56">
        <f ca="1">IFERROR(__xludf.DUMMYFUNCTION("""COMPUTED_VALUE"""),45952.2733912037)</f>
        <v>45952.2733912037</v>
      </c>
      <c r="D44" s="55" t="str">
        <f ca="1">IFERROR(__xludf.DUMMYFUNCTION("""COMPUTED_VALUE"""),"Sahrul dwi julianto")</f>
        <v>Sahrul dwi julianto</v>
      </c>
      <c r="E44" s="57">
        <f ca="1">IFERROR(__xludf.DUMMYFUNCTION("""COMPUTED_VALUE"""),45952)</f>
        <v>45952</v>
      </c>
      <c r="F44" s="55" t="str">
        <f ca="1">IFERROR(__xludf.DUMMYFUNCTION("""COMPUTED_VALUE"""),"R8114K")</f>
        <v>R8114K</v>
      </c>
      <c r="G44" s="57">
        <f ca="1">IFERROR(__xludf.DUMMYFUNCTION("""COMPUTED_VALUE"""),46053)</f>
        <v>46053</v>
      </c>
      <c r="H44" s="57">
        <f ca="1">IFERROR(__xludf.DUMMYFUNCTION("""COMPUTED_VALUE"""),46053)</f>
        <v>46053</v>
      </c>
      <c r="I44" s="57">
        <f ca="1">IFERROR(__xludf.DUMMYFUNCTION("""COMPUTED_VALUE"""),46053)</f>
        <v>46053</v>
      </c>
      <c r="J44" s="57">
        <f ca="1">IFERROR(__xludf.DUMMYFUNCTION("""COMPUTED_VALUE"""),46053)</f>
        <v>46053</v>
      </c>
      <c r="K44" s="55"/>
      <c r="L44" s="55"/>
      <c r="M44" s="55"/>
      <c r="N44" s="55"/>
      <c r="O44" s="55"/>
      <c r="P44" s="55"/>
      <c r="Q44" s="55"/>
    </row>
    <row r="45" spans="1:17" ht="13.2" hidden="1">
      <c r="A45" s="55" t="str">
        <f ca="1">IFERROR(__xludf.DUMMYFUNCTION("""COMPUTED_VALUE"""),"0QANJZP")</f>
        <v>0QANJZP</v>
      </c>
      <c r="B45" s="55" t="str">
        <f ca="1">IFERROR(__xludf.DUMMYFUNCTION("""COMPUTED_VALUE"""),"eo4Jbe")</f>
        <v>eo4Jbe</v>
      </c>
      <c r="C45" s="56">
        <f ca="1">IFERROR(__xludf.DUMMYFUNCTION("""COMPUTED_VALUE"""),45952.2909722222)</f>
        <v>45952.290972222203</v>
      </c>
      <c r="D45" s="55" t="str">
        <f ca="1">IFERROR(__xludf.DUMMYFUNCTION("""COMPUTED_VALUE"""),"Sahrul Dwi Julianto")</f>
        <v>Sahrul Dwi Julianto</v>
      </c>
      <c r="E45" s="57">
        <f ca="1">IFERROR(__xludf.DUMMYFUNCTION("""COMPUTED_VALUE"""),45952)</f>
        <v>45952</v>
      </c>
      <c r="F45" s="55" t="str">
        <f ca="1">IFERROR(__xludf.DUMMYFUNCTION("""COMPUTED_VALUE"""),"B9697SFV")</f>
        <v>B9697SFV</v>
      </c>
      <c r="G45" s="57">
        <f ca="1">IFERROR(__xludf.DUMMYFUNCTION("""COMPUTED_VALUE"""),45978)</f>
        <v>45978</v>
      </c>
      <c r="H45" s="57">
        <f ca="1">IFERROR(__xludf.DUMMYFUNCTION("""COMPUTED_VALUE"""),45978)</f>
        <v>45978</v>
      </c>
      <c r="I45" s="55"/>
      <c r="J45" s="55"/>
      <c r="K45" s="55"/>
      <c r="L45" s="55"/>
      <c r="M45" s="55"/>
      <c r="N45" s="57">
        <f ca="1">IFERROR(__xludf.DUMMYFUNCTION("""COMPUTED_VALUE"""),46081)</f>
        <v>46081</v>
      </c>
      <c r="O45" s="57">
        <f ca="1">IFERROR(__xludf.DUMMYFUNCTION("""COMPUTED_VALUE"""),46081)</f>
        <v>46081</v>
      </c>
      <c r="P45" s="55"/>
      <c r="Q45" s="55"/>
    </row>
    <row r="46" spans="1:17" ht="13.2" hidden="1">
      <c r="A46" s="55" t="str">
        <f ca="1">IFERROR(__xludf.DUMMYFUNCTION("""COMPUTED_VALUE"""),"KYRdP2z")</f>
        <v>KYRdP2z</v>
      </c>
      <c r="B46" s="55" t="str">
        <f ca="1">IFERROR(__xludf.DUMMYFUNCTION("""COMPUTED_VALUE"""),"eo4Jbe")</f>
        <v>eo4Jbe</v>
      </c>
      <c r="C46" s="56">
        <f ca="1">IFERROR(__xludf.DUMMYFUNCTION("""COMPUTED_VALUE"""),45952.2971296296)</f>
        <v>45952.297129629602</v>
      </c>
      <c r="D46" s="55" t="str">
        <f ca="1">IFERROR(__xludf.DUMMYFUNCTION("""COMPUTED_VALUE"""),"Sahrul Dwi Julianto")</f>
        <v>Sahrul Dwi Julianto</v>
      </c>
      <c r="E46" s="57">
        <f ca="1">IFERROR(__xludf.DUMMYFUNCTION("""COMPUTED_VALUE"""),45952)</f>
        <v>45952</v>
      </c>
      <c r="F46" s="55" t="str">
        <f ca="1">IFERROR(__xludf.DUMMYFUNCTION("""COMPUTED_VALUE"""),"E9496YC")</f>
        <v>E9496YC</v>
      </c>
      <c r="G46" s="57">
        <f ca="1">IFERROR(__xludf.DUMMYFUNCTION("""COMPUTED_VALUE"""),45862)</f>
        <v>45862</v>
      </c>
      <c r="H46" s="57">
        <f ca="1">IFERROR(__xludf.DUMMYFUNCTION("""COMPUTED_VALUE"""),45862)</f>
        <v>45862</v>
      </c>
      <c r="I46" s="55"/>
      <c r="J46" s="55"/>
      <c r="K46" s="55"/>
      <c r="L46" s="55"/>
      <c r="M46" s="55"/>
      <c r="N46" s="57">
        <f ca="1">IFERROR(__xludf.DUMMYFUNCTION("""COMPUTED_VALUE"""),46055)</f>
        <v>46055</v>
      </c>
      <c r="O46" s="57">
        <f ca="1">IFERROR(__xludf.DUMMYFUNCTION("""COMPUTED_VALUE"""),46081)</f>
        <v>46081</v>
      </c>
      <c r="P46" s="55"/>
      <c r="Q46" s="55"/>
    </row>
    <row r="47" spans="1:17" ht="13.2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</row>
    <row r="48" spans="1:17" ht="13.2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</row>
    <row r="49" spans="1:17" ht="13.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</row>
    <row r="50" spans="1:17" ht="13.2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</row>
    <row r="51" spans="1:17" ht="13.2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</row>
    <row r="52" spans="1:17" ht="13.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</row>
    <row r="53" spans="1:17" ht="13.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</row>
    <row r="54" spans="1:17" ht="13.2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</row>
    <row r="55" spans="1:17" ht="13.2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</row>
    <row r="56" spans="1:17" ht="13.2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</row>
    <row r="57" spans="1:17" ht="13.2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</row>
    <row r="58" spans="1:17" ht="13.2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</row>
    <row r="59" spans="1:17" ht="13.2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</row>
    <row r="60" spans="1:17" ht="13.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</row>
    <row r="61" spans="1:17" ht="13.2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</row>
    <row r="62" spans="1:17" ht="13.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</row>
    <row r="63" spans="1:17" ht="13.2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</row>
    <row r="64" spans="1:17" ht="13.2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</row>
    <row r="65" spans="1:17" ht="13.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</row>
    <row r="66" spans="1:17" ht="13.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</row>
    <row r="67" spans="1:17" ht="13.2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</row>
    <row r="68" spans="1:17" ht="13.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</row>
    <row r="69" spans="1:17" ht="13.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</row>
    <row r="70" spans="1:17" ht="13.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</row>
    <row r="71" spans="1:17" ht="13.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</row>
    <row r="72" spans="1:17" ht="13.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</row>
    <row r="73" spans="1:17" ht="13.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</row>
    <row r="74" spans="1:17" ht="13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</row>
    <row r="75" spans="1:17" ht="13.2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</row>
    <row r="76" spans="1:17" ht="13.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</row>
    <row r="77" spans="1:17" ht="13.2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</row>
    <row r="78" spans="1:17" ht="13.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</row>
    <row r="79" spans="1:17" ht="13.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</row>
    <row r="80" spans="1:17" ht="13.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</row>
    <row r="81" spans="1:17" ht="13.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</row>
    <row r="82" spans="1:17" ht="13.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</row>
    <row r="83" spans="1:17" ht="13.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</row>
    <row r="84" spans="1:17" ht="13.2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</row>
    <row r="85" spans="1:17" ht="13.2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</row>
    <row r="86" spans="1:17" ht="13.2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</row>
    <row r="87" spans="1:17" ht="13.2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</row>
    <row r="88" spans="1:17" ht="13.2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</row>
    <row r="89" spans="1:17" ht="13.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</row>
    <row r="90" spans="1:17" ht="13.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</row>
    <row r="91" spans="1:17" ht="13.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</row>
    <row r="92" spans="1:17" ht="13.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</row>
    <row r="93" spans="1:17" ht="13.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</row>
    <row r="94" spans="1:17" ht="13.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</row>
    <row r="95" spans="1:17" ht="13.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</row>
    <row r="96" spans="1:17" ht="13.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</row>
    <row r="97" spans="1:17" ht="13.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</row>
    <row r="98" spans="1:17" ht="13.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</row>
    <row r="99" spans="1:17" ht="13.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</row>
    <row r="100" spans="1:17" ht="13.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</row>
    <row r="101" spans="1:17" ht="13.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</row>
    <row r="102" spans="1:17" ht="13.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</row>
    <row r="103" spans="1:17" ht="13.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</row>
    <row r="104" spans="1:17" ht="13.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</row>
    <row r="105" spans="1:17" ht="13.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</row>
    <row r="106" spans="1:17" ht="13.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</row>
    <row r="107" spans="1:17" ht="13.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</row>
    <row r="108" spans="1:17" ht="13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</row>
    <row r="109" spans="1:17" ht="13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</row>
    <row r="110" spans="1:17" ht="13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</row>
    <row r="111" spans="1:17" ht="13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</row>
    <row r="112" spans="1:17" ht="13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</row>
    <row r="113" spans="1:17" ht="13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</row>
    <row r="114" spans="1:17" ht="13.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</row>
    <row r="115" spans="1:17" ht="13.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</row>
    <row r="116" spans="1:17" ht="13.2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</row>
    <row r="117" spans="1:17" ht="13.2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</row>
    <row r="118" spans="1:17" ht="13.2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</row>
    <row r="119" spans="1:17" ht="13.2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</row>
    <row r="120" spans="1:17" ht="13.2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</row>
    <row r="121" spans="1:17" ht="13.2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</row>
    <row r="122" spans="1:17" ht="13.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</row>
    <row r="123" spans="1:17" ht="13.2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</row>
    <row r="124" spans="1:17" ht="13.2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</row>
    <row r="125" spans="1:17" ht="13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</row>
    <row r="126" spans="1:17" ht="13.2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</row>
    <row r="127" spans="1:17" ht="13.2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</row>
    <row r="128" spans="1:17" ht="13.2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</row>
    <row r="129" spans="1:17" ht="13.2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</row>
    <row r="130" spans="1:17" ht="13.2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</row>
    <row r="131" spans="1:17" ht="13.2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</row>
    <row r="132" spans="1:17" ht="13.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</row>
    <row r="133" spans="1:17" ht="13.2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</row>
    <row r="134" spans="1:17" ht="13.2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</row>
    <row r="135" spans="1:17" ht="13.2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</row>
    <row r="136" spans="1:17" ht="13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</row>
    <row r="137" spans="1:17" ht="13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</row>
    <row r="138" spans="1:17" ht="13.2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</row>
    <row r="139" spans="1:17" ht="13.2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</row>
    <row r="140" spans="1:17" ht="13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</row>
    <row r="141" spans="1:17" ht="13.2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</row>
    <row r="142" spans="1:17" ht="13.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</row>
    <row r="143" spans="1:17" ht="13.2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</row>
    <row r="144" spans="1:17" ht="13.2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</row>
    <row r="145" spans="1:17" ht="13.2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</row>
    <row r="146" spans="1:17" ht="13.2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</row>
    <row r="147" spans="1:17" ht="13.2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</row>
    <row r="148" spans="1:17" ht="13.2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</row>
    <row r="149" spans="1:17" ht="13.2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</row>
    <row r="150" spans="1:17" ht="13.2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</row>
    <row r="151" spans="1:17" ht="13.2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</row>
    <row r="152" spans="1:17" ht="13.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</row>
    <row r="153" spans="1:17" ht="13.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</row>
    <row r="154" spans="1:17" ht="13.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</row>
    <row r="155" spans="1:17" ht="13.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</row>
    <row r="156" spans="1:17" ht="13.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</row>
    <row r="157" spans="1:17" ht="13.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</row>
    <row r="158" spans="1:17" ht="13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</row>
    <row r="159" spans="1:17" ht="13.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</row>
    <row r="160" spans="1:17" ht="13.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</row>
    <row r="161" spans="1:17" ht="13.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</row>
    <row r="162" spans="1:17" ht="13.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</row>
    <row r="163" spans="1:17" ht="13.2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</row>
    <row r="164" spans="1:17" ht="13.2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</row>
    <row r="165" spans="1:17" ht="13.2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</row>
    <row r="166" spans="1:17" ht="13.2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</row>
    <row r="167" spans="1:17" ht="13.2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</row>
    <row r="168" spans="1:17" ht="13.2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</row>
    <row r="169" spans="1:17" ht="13.2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</row>
    <row r="170" spans="1:17" ht="13.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</row>
    <row r="171" spans="1:17" ht="13.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</row>
    <row r="172" spans="1:17" ht="13.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</row>
    <row r="173" spans="1:17" ht="13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</row>
    <row r="174" spans="1:17" ht="13.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</row>
    <row r="175" spans="1:17" ht="13.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</row>
    <row r="176" spans="1:17" ht="13.2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</row>
    <row r="177" spans="1:17" ht="13.2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</row>
    <row r="178" spans="1:17" ht="13.2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</row>
    <row r="179" spans="1:17" ht="13.2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</row>
    <row r="180" spans="1:17" ht="13.2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</row>
    <row r="181" spans="1:17" ht="13.2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</row>
    <row r="182" spans="1:17" ht="13.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</row>
    <row r="183" spans="1:17" ht="13.2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</row>
    <row r="184" spans="1:17" ht="13.2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</row>
    <row r="185" spans="1:17" ht="13.2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</row>
    <row r="186" spans="1:17" ht="13.2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</row>
    <row r="187" spans="1:17" ht="13.2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</row>
    <row r="188" spans="1:17" ht="13.2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</row>
    <row r="189" spans="1:17" ht="13.2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</row>
    <row r="190" spans="1:17" ht="13.2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</row>
    <row r="191" spans="1:17" ht="13.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</row>
    <row r="192" spans="1:17" ht="13.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</row>
    <row r="193" spans="1:17" ht="13.2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</row>
    <row r="194" spans="1:17" ht="13.2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</row>
    <row r="195" spans="1:17" ht="13.2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</row>
    <row r="196" spans="1:17" ht="13.2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</row>
    <row r="197" spans="1:17" ht="13.2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</row>
    <row r="198" spans="1:17" ht="13.2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</row>
    <row r="199" spans="1:17" ht="13.2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</row>
    <row r="200" spans="1:17" ht="13.2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</row>
    <row r="201" spans="1:17" ht="13.2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</row>
    <row r="202" spans="1:17" ht="13.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</row>
    <row r="203" spans="1:17" ht="13.2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</row>
    <row r="204" spans="1:17" ht="13.2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</row>
    <row r="205" spans="1:17" ht="13.2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</row>
    <row r="206" spans="1:17" ht="13.2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</row>
    <row r="207" spans="1:17" ht="13.2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</row>
    <row r="208" spans="1:17" ht="13.2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</row>
    <row r="209" spans="1:17" ht="13.2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</row>
    <row r="210" spans="1:17" ht="13.2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</row>
    <row r="211" spans="1:17" ht="13.2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</row>
    <row r="212" spans="1:17" ht="13.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</row>
    <row r="213" spans="1:17" ht="13.2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</row>
    <row r="214" spans="1:17" ht="13.2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</row>
    <row r="215" spans="1:17" ht="13.2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</row>
    <row r="216" spans="1:17" ht="13.2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</row>
    <row r="217" spans="1:17" ht="13.2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</row>
    <row r="218" spans="1:17" ht="13.2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</row>
    <row r="219" spans="1:17" ht="13.2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</row>
    <row r="220" spans="1:17" ht="13.2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</row>
    <row r="221" spans="1:17" ht="13.2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</row>
    <row r="222" spans="1:17" ht="13.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</row>
    <row r="223" spans="1:17" ht="13.2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</row>
    <row r="224" spans="1:17" ht="13.2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</row>
    <row r="225" spans="1:17" ht="13.2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</row>
    <row r="226" spans="1:17" ht="13.2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</row>
    <row r="227" spans="1:17" ht="13.2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</row>
    <row r="228" spans="1:17" ht="13.2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</row>
    <row r="229" spans="1:17" ht="13.2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</row>
    <row r="230" spans="1:17" ht="13.2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</row>
    <row r="231" spans="1:17" ht="13.2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</row>
    <row r="232" spans="1:17" ht="13.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</row>
    <row r="233" spans="1:17" ht="13.2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</row>
    <row r="234" spans="1:17" ht="13.2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</row>
    <row r="235" spans="1:17" ht="13.2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</row>
    <row r="236" spans="1:17" ht="13.2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</row>
    <row r="237" spans="1:17" ht="13.2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</row>
    <row r="238" spans="1:17" ht="13.2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</row>
    <row r="239" spans="1:17" ht="13.2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</row>
    <row r="240" spans="1:17" ht="13.2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</row>
    <row r="241" spans="1:17" ht="13.2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</row>
    <row r="242" spans="1:17" ht="13.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</row>
    <row r="243" spans="1:17" ht="13.2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</row>
    <row r="244" spans="1:17" ht="13.2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</row>
    <row r="245" spans="1:17" ht="13.2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</row>
    <row r="246" spans="1:17" ht="13.2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</row>
    <row r="247" spans="1:17" ht="13.2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</row>
    <row r="248" spans="1:17" ht="13.2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</row>
    <row r="249" spans="1:17" ht="13.2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</row>
    <row r="250" spans="1:17" ht="13.2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</row>
    <row r="251" spans="1:17" ht="13.2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</row>
    <row r="252" spans="1:17" ht="13.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</row>
    <row r="253" spans="1:17" ht="13.2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</row>
    <row r="254" spans="1:17" ht="13.2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</row>
    <row r="255" spans="1:17" ht="13.2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</row>
    <row r="256" spans="1:17" ht="13.2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</row>
    <row r="257" spans="1:17" ht="13.2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</row>
    <row r="258" spans="1:17" ht="13.2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</row>
    <row r="259" spans="1:17" ht="13.2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</row>
    <row r="260" spans="1:17" ht="13.2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</row>
    <row r="261" spans="1:17" ht="13.2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</row>
    <row r="262" spans="1:17" ht="13.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</row>
    <row r="263" spans="1:17" ht="13.2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</row>
    <row r="264" spans="1:17" ht="13.2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</row>
    <row r="265" spans="1:17" ht="13.2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</row>
    <row r="266" spans="1:17" ht="13.2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</row>
    <row r="267" spans="1:17" ht="13.2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</row>
    <row r="268" spans="1:17" ht="13.2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</row>
    <row r="269" spans="1:17" ht="13.2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</row>
    <row r="270" spans="1:17" ht="13.2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</row>
    <row r="271" spans="1:17" ht="13.2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</row>
    <row r="272" spans="1:17" ht="13.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</row>
    <row r="273" spans="1:17" ht="13.2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</row>
    <row r="274" spans="1:17" ht="13.2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</row>
    <row r="275" spans="1:17" ht="13.2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</row>
    <row r="276" spans="1:17" ht="13.2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</row>
    <row r="277" spans="1:17" ht="13.2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</row>
    <row r="278" spans="1:17" ht="13.2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</row>
    <row r="279" spans="1:17" ht="13.2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</row>
    <row r="280" spans="1:17" ht="13.2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</row>
    <row r="281" spans="1:17" ht="13.2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</row>
    <row r="282" spans="1:17" ht="13.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</row>
    <row r="283" spans="1:17" ht="13.2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</row>
    <row r="284" spans="1:17" ht="13.2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</row>
    <row r="285" spans="1:17" ht="13.2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</row>
    <row r="286" spans="1:17" ht="13.2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</row>
    <row r="287" spans="1:17" ht="13.2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</row>
    <row r="288" spans="1:17" ht="13.2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</row>
    <row r="289" spans="1:17" ht="13.2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</row>
    <row r="290" spans="1:17" ht="13.2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</row>
    <row r="291" spans="1:17" ht="13.2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</row>
    <row r="292" spans="1:17" ht="13.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</row>
    <row r="293" spans="1:17" ht="13.2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</row>
    <row r="294" spans="1:17" ht="13.2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</row>
    <row r="295" spans="1:17" ht="13.2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</row>
    <row r="296" spans="1:17" ht="13.2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</row>
    <row r="297" spans="1:17" ht="13.2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</row>
    <row r="298" spans="1:17" ht="13.2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</row>
    <row r="299" spans="1:17" ht="13.2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</row>
    <row r="300" spans="1:17" ht="13.2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</row>
    <row r="301" spans="1:17" ht="13.2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</row>
    <row r="302" spans="1:17" ht="13.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</row>
    <row r="303" spans="1:17" ht="13.2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</row>
    <row r="304" spans="1:17" ht="13.2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</row>
    <row r="305" spans="1:17" ht="13.2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</row>
    <row r="306" spans="1:17" ht="13.2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</row>
    <row r="307" spans="1:17" ht="13.2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</row>
    <row r="308" spans="1:17" ht="13.2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</row>
    <row r="309" spans="1:17" ht="13.2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</row>
    <row r="310" spans="1:17" ht="13.2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</row>
    <row r="311" spans="1:17" ht="13.2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</row>
    <row r="312" spans="1:17" ht="13.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</row>
    <row r="313" spans="1:17" ht="13.2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</row>
    <row r="314" spans="1:17" ht="13.2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</row>
    <row r="315" spans="1:17" ht="13.2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</row>
    <row r="316" spans="1:17" ht="13.2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</row>
    <row r="317" spans="1:17" ht="13.2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</row>
    <row r="318" spans="1:17" ht="13.2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</row>
    <row r="319" spans="1:17" ht="13.2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</row>
    <row r="320" spans="1:17" ht="13.2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</row>
    <row r="321" spans="1:17" ht="13.2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</row>
    <row r="322" spans="1:17" ht="13.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</row>
    <row r="323" spans="1:17" ht="13.2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</row>
    <row r="324" spans="1:17" ht="13.2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</row>
    <row r="325" spans="1:17" ht="13.2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</row>
    <row r="326" spans="1:17" ht="13.2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</row>
    <row r="327" spans="1:17" ht="13.2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</row>
    <row r="328" spans="1:17" ht="13.2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</row>
    <row r="329" spans="1:17" ht="13.2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</row>
    <row r="330" spans="1:17" ht="13.2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</row>
    <row r="331" spans="1:17" ht="13.2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</row>
    <row r="332" spans="1:17" ht="13.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</row>
    <row r="333" spans="1:17" ht="13.2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</row>
    <row r="334" spans="1:17" ht="13.2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</row>
    <row r="335" spans="1:17" ht="13.2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</row>
    <row r="336" spans="1:17" ht="13.2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</row>
    <row r="337" spans="1:17" ht="13.2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</row>
    <row r="338" spans="1:17" ht="13.2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</row>
    <row r="339" spans="1:17" ht="13.2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</row>
    <row r="340" spans="1:17" ht="13.2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</row>
    <row r="341" spans="1:17" ht="13.2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</row>
    <row r="342" spans="1:17" ht="13.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</row>
    <row r="343" spans="1:17" ht="13.2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</row>
    <row r="344" spans="1:17" ht="13.2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</row>
    <row r="345" spans="1:17" ht="13.2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</row>
    <row r="346" spans="1:17" ht="13.2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</row>
    <row r="347" spans="1:17" ht="13.2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</row>
    <row r="348" spans="1:17" ht="13.2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</row>
    <row r="349" spans="1:17" ht="13.2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</row>
    <row r="350" spans="1:17" ht="13.2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</row>
    <row r="351" spans="1:17" ht="13.2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</row>
    <row r="352" spans="1:17" ht="13.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</row>
    <row r="353" spans="1:17" ht="13.2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</row>
    <row r="354" spans="1:17" ht="13.2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</row>
    <row r="355" spans="1:17" ht="13.2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</row>
    <row r="356" spans="1:17" ht="13.2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</row>
    <row r="357" spans="1:17" ht="13.2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</row>
    <row r="358" spans="1:17" ht="13.2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</row>
    <row r="359" spans="1:17" ht="13.2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</row>
    <row r="360" spans="1:17" ht="13.2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</row>
    <row r="361" spans="1:17" ht="13.2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</row>
    <row r="362" spans="1:17" ht="13.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</row>
    <row r="363" spans="1:17" ht="13.2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</row>
    <row r="364" spans="1:17" ht="13.2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</row>
    <row r="365" spans="1:17" ht="13.2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</row>
    <row r="366" spans="1:17" ht="13.2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</row>
    <row r="367" spans="1:17" ht="13.2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</row>
    <row r="368" spans="1:17" ht="13.2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</row>
    <row r="369" spans="1:17" ht="13.2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</row>
    <row r="370" spans="1:17" ht="13.2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</row>
    <row r="371" spans="1:17" ht="13.2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</row>
    <row r="372" spans="1:17" ht="13.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</row>
    <row r="373" spans="1:17" ht="13.2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</row>
    <row r="374" spans="1:17" ht="13.2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</row>
    <row r="375" spans="1:17" ht="13.2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</row>
    <row r="376" spans="1:17" ht="13.2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</row>
    <row r="377" spans="1:17" ht="13.2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</row>
    <row r="378" spans="1:17" ht="13.2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</row>
    <row r="379" spans="1:17" ht="13.2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</row>
    <row r="380" spans="1:17" ht="13.2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</row>
    <row r="381" spans="1:17" ht="13.2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</row>
    <row r="382" spans="1:17" ht="13.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</row>
    <row r="383" spans="1:17" ht="13.2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</row>
    <row r="384" spans="1:17" ht="13.2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</row>
    <row r="385" spans="1:17" ht="13.2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</row>
    <row r="386" spans="1:17" ht="13.2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</row>
    <row r="387" spans="1:17" ht="13.2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</row>
    <row r="388" spans="1:17" ht="13.2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</row>
    <row r="389" spans="1:17" ht="13.2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</row>
    <row r="390" spans="1:17" ht="13.2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</row>
    <row r="391" spans="1:17" ht="13.2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</row>
    <row r="392" spans="1:17" ht="13.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</row>
    <row r="393" spans="1:17" ht="13.2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</row>
    <row r="394" spans="1:17" ht="13.2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</row>
    <row r="395" spans="1:17" ht="13.2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</row>
    <row r="396" spans="1:17" ht="13.2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</row>
    <row r="397" spans="1:17" ht="13.2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</row>
    <row r="398" spans="1:17" ht="13.2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</row>
    <row r="399" spans="1:17" ht="13.2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</row>
    <row r="400" spans="1:17" ht="13.2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</row>
    <row r="401" spans="1:17" ht="13.2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</row>
    <row r="402" spans="1:17" ht="13.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</row>
    <row r="403" spans="1:17" ht="13.2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</row>
    <row r="404" spans="1:17" ht="13.2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</row>
    <row r="405" spans="1:17" ht="13.2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</row>
    <row r="406" spans="1:17" ht="13.2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</row>
    <row r="407" spans="1:17" ht="13.2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</row>
    <row r="408" spans="1:17" ht="13.2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</row>
    <row r="409" spans="1:17" ht="13.2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</row>
    <row r="410" spans="1:17" ht="13.2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</row>
    <row r="411" spans="1:17" ht="13.2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</row>
    <row r="412" spans="1:17" ht="13.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</row>
    <row r="413" spans="1:17" ht="13.2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</row>
    <row r="414" spans="1:17" ht="13.2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</row>
    <row r="415" spans="1:17" ht="13.2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</row>
    <row r="416" spans="1:17" ht="13.2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</row>
    <row r="417" spans="1:17" ht="13.2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</row>
    <row r="418" spans="1:17" ht="13.2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</row>
    <row r="419" spans="1:17" ht="13.2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</row>
    <row r="420" spans="1:17" ht="13.2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</row>
    <row r="421" spans="1:17" ht="13.2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</row>
    <row r="422" spans="1:17" ht="13.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</row>
    <row r="423" spans="1:17" ht="13.2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</row>
    <row r="424" spans="1:17" ht="13.2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</row>
    <row r="425" spans="1:17" ht="13.2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</row>
    <row r="426" spans="1:17" ht="13.2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</row>
    <row r="427" spans="1:17" ht="13.2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</row>
    <row r="428" spans="1:17" ht="13.2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</row>
    <row r="429" spans="1:17" ht="13.2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</row>
    <row r="430" spans="1:17" ht="13.2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</row>
    <row r="431" spans="1:17" ht="13.2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</row>
    <row r="432" spans="1:17" ht="13.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</row>
    <row r="433" spans="1:17" ht="13.2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</row>
    <row r="434" spans="1:17" ht="13.2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</row>
    <row r="435" spans="1:17" ht="13.2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</row>
    <row r="436" spans="1:17" ht="13.2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</row>
    <row r="437" spans="1:17" ht="13.2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</row>
    <row r="438" spans="1:17" ht="13.2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</row>
    <row r="439" spans="1:17" ht="13.2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</row>
    <row r="440" spans="1:17" ht="13.2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</row>
    <row r="441" spans="1:17" ht="13.2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</row>
    <row r="442" spans="1:17" ht="13.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</row>
    <row r="443" spans="1:17" ht="13.2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</row>
    <row r="444" spans="1:17" ht="13.2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</row>
    <row r="445" spans="1:17" ht="13.2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</row>
    <row r="446" spans="1:17" ht="13.2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</row>
    <row r="447" spans="1:17" ht="13.2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</row>
    <row r="448" spans="1:17" ht="13.2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</row>
    <row r="449" spans="1:17" ht="13.2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</row>
    <row r="450" spans="1:17" ht="13.2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</row>
    <row r="451" spans="1:17" ht="13.2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</row>
    <row r="452" spans="1:17" ht="13.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</row>
    <row r="453" spans="1:17" ht="13.2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</row>
    <row r="454" spans="1:17" ht="13.2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</row>
    <row r="455" spans="1:17" ht="13.2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</row>
    <row r="456" spans="1:17" ht="13.2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</row>
    <row r="457" spans="1:17" ht="13.2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</row>
    <row r="458" spans="1:17" ht="13.2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</row>
    <row r="459" spans="1:17" ht="13.2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</row>
    <row r="460" spans="1:17" ht="13.2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</row>
    <row r="461" spans="1:17" ht="13.2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</row>
    <row r="462" spans="1:17" ht="13.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</row>
    <row r="463" spans="1:17" ht="13.2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</row>
    <row r="464" spans="1:17" ht="13.2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</row>
    <row r="465" spans="1:17" ht="13.2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</row>
    <row r="466" spans="1:17" ht="13.2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</row>
    <row r="467" spans="1:17" ht="13.2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</row>
    <row r="468" spans="1:17" ht="13.2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</row>
    <row r="469" spans="1:17" ht="13.2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</row>
    <row r="470" spans="1:17" ht="13.2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</row>
    <row r="471" spans="1:17" ht="13.2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</row>
    <row r="472" spans="1:17" ht="13.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</row>
    <row r="473" spans="1:17" ht="13.2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</row>
    <row r="474" spans="1:17" ht="13.2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</row>
    <row r="475" spans="1:17" ht="13.2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</row>
    <row r="476" spans="1:17" ht="13.2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</row>
    <row r="477" spans="1:17" ht="13.2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</row>
    <row r="478" spans="1:17" ht="13.2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</row>
    <row r="479" spans="1:17" ht="13.2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</row>
    <row r="480" spans="1:17" ht="13.2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</row>
    <row r="481" spans="1:17" ht="13.2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</row>
    <row r="482" spans="1:17" ht="13.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</row>
    <row r="483" spans="1:17" ht="13.2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</row>
    <row r="484" spans="1:17" ht="13.2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</row>
    <row r="485" spans="1:17" ht="13.2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</row>
    <row r="486" spans="1:17" ht="13.2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</row>
    <row r="487" spans="1:17" ht="13.2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</row>
    <row r="488" spans="1:17" ht="13.2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</row>
    <row r="489" spans="1:17" ht="13.2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</row>
    <row r="490" spans="1:17" ht="13.2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</row>
    <row r="491" spans="1:17" ht="13.2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</row>
    <row r="492" spans="1:17" ht="13.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</row>
    <row r="493" spans="1:17" ht="13.2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</row>
    <row r="494" spans="1:17" ht="13.2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</row>
    <row r="495" spans="1:17" ht="13.2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</row>
    <row r="496" spans="1:17" ht="13.2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</row>
    <row r="497" spans="1:17" ht="13.2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</row>
    <row r="498" spans="1:17" ht="13.2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</row>
    <row r="499" spans="1:17" ht="13.2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</row>
    <row r="500" spans="1:17" ht="13.2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</row>
    <row r="501" spans="1:17" ht="13.2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</row>
    <row r="502" spans="1:17" ht="13.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</row>
    <row r="503" spans="1:17" ht="13.2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</row>
    <row r="504" spans="1:17" ht="13.2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</row>
    <row r="505" spans="1:17" ht="13.2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</row>
    <row r="506" spans="1:17" ht="13.2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</row>
    <row r="507" spans="1:17" ht="13.2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</row>
    <row r="508" spans="1:17" ht="13.2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</row>
    <row r="509" spans="1:17" ht="13.2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</row>
    <row r="510" spans="1:17" ht="13.2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</row>
    <row r="511" spans="1:17" ht="13.2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</row>
    <row r="512" spans="1:17" ht="13.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</row>
    <row r="513" spans="1:17" ht="13.2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</row>
    <row r="514" spans="1:17" ht="13.2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</row>
    <row r="515" spans="1:17" ht="13.2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</row>
    <row r="516" spans="1:17" ht="13.2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</row>
    <row r="517" spans="1:17" ht="13.2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</row>
    <row r="518" spans="1:17" ht="13.2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</row>
    <row r="519" spans="1:17" ht="13.2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</row>
    <row r="520" spans="1:17" ht="13.2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</row>
    <row r="521" spans="1:17" ht="13.2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</row>
    <row r="522" spans="1:17" ht="13.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</row>
    <row r="523" spans="1:17" ht="13.2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</row>
    <row r="524" spans="1:17" ht="13.2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</row>
    <row r="525" spans="1:17" ht="13.2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</row>
    <row r="526" spans="1:17" ht="13.2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</row>
    <row r="527" spans="1:17" ht="13.2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</row>
    <row r="528" spans="1:17" ht="13.2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</row>
    <row r="529" spans="1:17" ht="13.2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</row>
    <row r="530" spans="1:17" ht="13.2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</row>
    <row r="531" spans="1:17" ht="13.2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</row>
    <row r="532" spans="1:17" ht="13.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</row>
    <row r="533" spans="1:17" ht="13.2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</row>
    <row r="534" spans="1:17" ht="13.2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</row>
    <row r="535" spans="1:17" ht="13.2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</row>
    <row r="536" spans="1:17" ht="13.2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</row>
    <row r="537" spans="1:17" ht="13.2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</row>
    <row r="538" spans="1:17" ht="13.2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</row>
    <row r="539" spans="1:17" ht="13.2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</row>
    <row r="540" spans="1:17" ht="13.2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</row>
    <row r="541" spans="1:17" ht="13.2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</row>
    <row r="542" spans="1:17" ht="13.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</row>
    <row r="543" spans="1:17" ht="13.2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</row>
    <row r="544" spans="1:17" ht="13.2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</row>
    <row r="545" spans="1:17" ht="13.2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</row>
    <row r="546" spans="1:17" ht="13.2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</row>
    <row r="547" spans="1:17" ht="13.2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</row>
    <row r="548" spans="1:17" ht="13.2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</row>
    <row r="549" spans="1:17" ht="13.2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</row>
    <row r="550" spans="1:17" ht="13.2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</row>
    <row r="551" spans="1:17" ht="13.2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</row>
    <row r="552" spans="1:17" ht="13.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</row>
    <row r="553" spans="1:17" ht="13.2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</row>
    <row r="554" spans="1:17" ht="13.2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</row>
    <row r="555" spans="1:17" ht="13.2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</row>
    <row r="556" spans="1:17" ht="13.2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</row>
    <row r="557" spans="1:17" ht="13.2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</row>
    <row r="558" spans="1:17" ht="13.2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</row>
    <row r="559" spans="1:17" ht="13.2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</row>
    <row r="560" spans="1:17" ht="13.2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</row>
    <row r="561" spans="1:17" ht="13.2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</row>
    <row r="562" spans="1:17" ht="13.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</row>
    <row r="563" spans="1:17" ht="13.2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</row>
    <row r="564" spans="1:17" ht="13.2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</row>
    <row r="565" spans="1:17" ht="13.2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</row>
    <row r="566" spans="1:17" ht="13.2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</row>
    <row r="567" spans="1:17" ht="13.2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</row>
    <row r="568" spans="1:17" ht="13.2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</row>
    <row r="569" spans="1:17" ht="13.2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</row>
    <row r="570" spans="1:17" ht="13.2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</row>
    <row r="571" spans="1:17" ht="13.2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</row>
    <row r="572" spans="1:17" ht="13.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</row>
    <row r="573" spans="1:17" ht="13.2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</row>
    <row r="574" spans="1:17" ht="13.2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</row>
    <row r="575" spans="1:17" ht="13.2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</row>
    <row r="576" spans="1:17" ht="13.2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</row>
    <row r="577" spans="1:17" ht="13.2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</row>
    <row r="578" spans="1:17" ht="13.2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</row>
    <row r="579" spans="1:17" ht="13.2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</row>
    <row r="580" spans="1:17" ht="13.2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</row>
    <row r="581" spans="1:17" ht="13.2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</row>
    <row r="582" spans="1:17" ht="13.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</row>
    <row r="583" spans="1:17" ht="13.2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</row>
    <row r="584" spans="1:17" ht="13.2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</row>
    <row r="585" spans="1:17" ht="13.2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</row>
    <row r="586" spans="1:17" ht="13.2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</row>
    <row r="587" spans="1:17" ht="13.2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</row>
    <row r="588" spans="1:17" ht="13.2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</row>
    <row r="589" spans="1:17" ht="13.2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</row>
    <row r="590" spans="1:17" ht="13.2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</row>
    <row r="591" spans="1:17" ht="13.2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</row>
    <row r="592" spans="1:17" ht="13.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</row>
    <row r="593" spans="1:17" ht="13.2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</row>
    <row r="594" spans="1:17" ht="13.2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</row>
    <row r="595" spans="1:17" ht="13.2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</row>
    <row r="596" spans="1:17" ht="13.2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</row>
    <row r="597" spans="1:17" ht="13.2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</row>
    <row r="598" spans="1:17" ht="13.2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</row>
    <row r="599" spans="1:17" ht="13.2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</row>
    <row r="600" spans="1:17" ht="13.2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</row>
    <row r="601" spans="1:17" ht="13.2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</row>
    <row r="602" spans="1:17" ht="13.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</row>
    <row r="603" spans="1:17" ht="13.2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</row>
    <row r="604" spans="1:17" ht="13.2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</row>
    <row r="605" spans="1:17" ht="13.2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</row>
    <row r="606" spans="1:17" ht="13.2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</row>
    <row r="607" spans="1:17" ht="13.2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</row>
    <row r="608" spans="1:17" ht="13.2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</row>
    <row r="609" spans="1:17" ht="13.2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</row>
    <row r="610" spans="1:17" ht="13.2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</row>
    <row r="611" spans="1:17" ht="13.2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</row>
    <row r="612" spans="1:17" ht="13.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</row>
    <row r="613" spans="1:17" ht="13.2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</row>
    <row r="614" spans="1:17" ht="13.2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</row>
    <row r="615" spans="1:17" ht="13.2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</row>
    <row r="616" spans="1:17" ht="13.2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</row>
    <row r="617" spans="1:17" ht="13.2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</row>
    <row r="618" spans="1:17" ht="13.2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</row>
    <row r="619" spans="1:17" ht="13.2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</row>
    <row r="620" spans="1:17" ht="13.2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</row>
    <row r="621" spans="1:17" ht="13.2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</row>
    <row r="622" spans="1:17" ht="13.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</row>
    <row r="623" spans="1:17" ht="13.2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</row>
    <row r="624" spans="1:17" ht="13.2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</row>
    <row r="625" spans="1:17" ht="13.2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</row>
    <row r="626" spans="1:17" ht="13.2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</row>
    <row r="627" spans="1:17" ht="13.2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</row>
    <row r="628" spans="1:17" ht="13.2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</row>
    <row r="629" spans="1:17" ht="13.2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</row>
    <row r="630" spans="1:17" ht="13.2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</row>
    <row r="631" spans="1:17" ht="13.2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</row>
    <row r="632" spans="1:17" ht="13.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</row>
    <row r="633" spans="1:17" ht="13.2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</row>
    <row r="634" spans="1:17" ht="13.2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</row>
    <row r="635" spans="1:17" ht="13.2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</row>
    <row r="636" spans="1:17" ht="13.2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</row>
    <row r="637" spans="1:17" ht="13.2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</row>
    <row r="638" spans="1:17" ht="13.2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</row>
    <row r="639" spans="1:17" ht="13.2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</row>
    <row r="640" spans="1:17" ht="13.2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</row>
    <row r="641" spans="1:17" ht="13.2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</row>
    <row r="642" spans="1:17" ht="13.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</row>
    <row r="643" spans="1:17" ht="13.2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</row>
    <row r="644" spans="1:17" ht="13.2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</row>
    <row r="645" spans="1:17" ht="13.2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</row>
    <row r="646" spans="1:17" ht="13.2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</row>
    <row r="647" spans="1:17" ht="13.2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</row>
    <row r="648" spans="1:17" ht="13.2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</row>
    <row r="649" spans="1:17" ht="13.2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</row>
    <row r="650" spans="1:17" ht="13.2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</row>
    <row r="651" spans="1:17" ht="13.2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</row>
    <row r="652" spans="1:17" ht="13.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</row>
    <row r="653" spans="1:17" ht="13.2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</row>
    <row r="654" spans="1:17" ht="13.2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</row>
    <row r="655" spans="1:17" ht="13.2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</row>
    <row r="656" spans="1:17" ht="13.2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</row>
    <row r="657" spans="1:17" ht="13.2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</row>
    <row r="658" spans="1:17" ht="13.2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</row>
    <row r="659" spans="1:17" ht="13.2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</row>
    <row r="660" spans="1:17" ht="13.2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</row>
    <row r="661" spans="1:17" ht="13.2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</row>
    <row r="662" spans="1:17" ht="13.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</row>
    <row r="663" spans="1:17" ht="13.2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</row>
    <row r="664" spans="1:17" ht="13.2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</row>
    <row r="665" spans="1:17" ht="13.2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</row>
    <row r="666" spans="1:17" ht="13.2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</row>
    <row r="667" spans="1:17" ht="13.2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</row>
    <row r="668" spans="1:17" ht="13.2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</row>
    <row r="669" spans="1:17" ht="13.2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</row>
    <row r="670" spans="1:17" ht="13.2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</row>
    <row r="671" spans="1:17" ht="13.2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</row>
    <row r="672" spans="1:17" ht="13.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</row>
    <row r="673" spans="1:17" ht="13.2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</row>
    <row r="674" spans="1:17" ht="13.2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</row>
    <row r="675" spans="1:17" ht="13.2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</row>
    <row r="676" spans="1:17" ht="13.2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</row>
    <row r="677" spans="1:17" ht="13.2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</row>
    <row r="678" spans="1:17" ht="13.2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</row>
    <row r="679" spans="1:17" ht="13.2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</row>
    <row r="680" spans="1:17" ht="13.2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</row>
    <row r="681" spans="1:17" ht="13.2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</row>
    <row r="682" spans="1:17" ht="13.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</row>
    <row r="683" spans="1:17" ht="13.2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</row>
    <row r="684" spans="1:17" ht="13.2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</row>
    <row r="685" spans="1:17" ht="13.2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</row>
    <row r="686" spans="1:17" ht="13.2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</row>
    <row r="687" spans="1:17" ht="13.2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</row>
    <row r="688" spans="1:17" ht="13.2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</row>
    <row r="689" spans="1:17" ht="13.2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</row>
    <row r="690" spans="1:17" ht="13.2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</row>
    <row r="691" spans="1:17" ht="13.2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</row>
    <row r="692" spans="1:17" ht="13.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</row>
    <row r="693" spans="1:17" ht="13.2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</row>
    <row r="694" spans="1:17" ht="13.2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</row>
    <row r="695" spans="1:17" ht="13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</row>
    <row r="696" spans="1:17" ht="13.2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</row>
    <row r="697" spans="1:17" ht="13.2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</row>
    <row r="698" spans="1:17" ht="13.2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</row>
    <row r="699" spans="1:17" ht="13.2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</row>
    <row r="700" spans="1:17" ht="13.2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</row>
    <row r="701" spans="1:17" ht="13.2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</row>
    <row r="702" spans="1:17" ht="13.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</row>
    <row r="703" spans="1:17" ht="13.2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</row>
    <row r="704" spans="1:17" ht="13.2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</row>
    <row r="705" spans="1:17" ht="13.2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</row>
    <row r="706" spans="1:17" ht="13.2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</row>
    <row r="707" spans="1:17" ht="13.2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</row>
    <row r="708" spans="1:17" ht="13.2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</row>
    <row r="709" spans="1:17" ht="13.2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</row>
    <row r="710" spans="1:17" ht="13.2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</row>
    <row r="711" spans="1:17" ht="13.2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</row>
    <row r="712" spans="1:17" ht="13.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</row>
    <row r="713" spans="1:17" ht="13.2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</row>
    <row r="714" spans="1:17" ht="13.2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</row>
    <row r="715" spans="1:17" ht="13.2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</row>
    <row r="716" spans="1:17" ht="13.2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</row>
    <row r="717" spans="1:17" ht="13.2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</row>
    <row r="718" spans="1:17" ht="13.2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</row>
    <row r="719" spans="1:17" ht="13.2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</row>
    <row r="720" spans="1:17" ht="13.2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</row>
    <row r="721" spans="1:17" ht="13.2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</row>
    <row r="722" spans="1:17" ht="13.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</row>
    <row r="723" spans="1:17" ht="13.2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</row>
    <row r="724" spans="1:17" ht="13.2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</row>
    <row r="725" spans="1:17" ht="13.2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</row>
    <row r="726" spans="1:17" ht="13.2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</row>
    <row r="727" spans="1:17" ht="13.2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</row>
    <row r="728" spans="1:17" ht="13.2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</row>
    <row r="729" spans="1:17" ht="13.2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</row>
    <row r="730" spans="1:17" ht="13.2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</row>
    <row r="731" spans="1:17" ht="13.2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</row>
    <row r="732" spans="1:17" ht="13.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</row>
    <row r="733" spans="1:17" ht="13.2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</row>
    <row r="734" spans="1:17" ht="13.2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</row>
    <row r="735" spans="1:17" ht="13.2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</row>
    <row r="736" spans="1:17" ht="13.2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</row>
    <row r="737" spans="1:17" ht="13.2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</row>
    <row r="738" spans="1:17" ht="13.2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</row>
    <row r="739" spans="1:17" ht="13.2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</row>
    <row r="740" spans="1:17" ht="13.2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</row>
    <row r="741" spans="1:17" ht="13.2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</row>
    <row r="742" spans="1:17" ht="13.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</row>
    <row r="743" spans="1:17" ht="13.2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</row>
    <row r="744" spans="1:17" ht="13.2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</row>
    <row r="745" spans="1:17" ht="13.2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</row>
    <row r="746" spans="1:17" ht="13.2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</row>
    <row r="747" spans="1:17" ht="13.2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</row>
    <row r="748" spans="1:17" ht="13.2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</row>
    <row r="749" spans="1:17" ht="13.2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</row>
    <row r="750" spans="1:17" ht="13.2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</row>
    <row r="751" spans="1:17" ht="13.2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</row>
    <row r="752" spans="1:17" ht="13.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</row>
    <row r="753" spans="1:17" ht="13.2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</row>
    <row r="754" spans="1:17" ht="13.2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</row>
    <row r="755" spans="1:17" ht="13.2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</row>
    <row r="756" spans="1:17" ht="13.2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</row>
    <row r="757" spans="1:17" ht="13.2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</row>
    <row r="758" spans="1:17" ht="13.2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</row>
    <row r="759" spans="1:17" ht="13.2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</row>
    <row r="760" spans="1:17" ht="13.2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</row>
    <row r="761" spans="1:17" ht="13.2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</row>
    <row r="762" spans="1:17" ht="13.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</row>
    <row r="763" spans="1:17" ht="13.2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</row>
    <row r="764" spans="1:17" ht="13.2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</row>
    <row r="765" spans="1:17" ht="13.2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</row>
    <row r="766" spans="1:17" ht="13.2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</row>
    <row r="767" spans="1:17" ht="13.2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</row>
    <row r="768" spans="1:17" ht="13.2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</row>
    <row r="769" spans="1:17" ht="13.2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</row>
    <row r="770" spans="1:17" ht="13.2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</row>
    <row r="771" spans="1:17" ht="13.2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</row>
    <row r="772" spans="1:17" ht="13.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</row>
    <row r="773" spans="1:17" ht="13.2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</row>
    <row r="774" spans="1:17" ht="13.2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</row>
    <row r="775" spans="1:17" ht="13.2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</row>
    <row r="776" spans="1:17" ht="13.2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</row>
    <row r="777" spans="1:17" ht="13.2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</row>
    <row r="778" spans="1:17" ht="13.2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</row>
    <row r="779" spans="1:17" ht="13.2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</row>
    <row r="780" spans="1:17" ht="13.2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</row>
    <row r="781" spans="1:17" ht="13.2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</row>
    <row r="782" spans="1:17" ht="13.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</row>
    <row r="783" spans="1:17" ht="13.2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</row>
    <row r="784" spans="1:17" ht="13.2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</row>
    <row r="785" spans="1:17" ht="13.2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</row>
    <row r="786" spans="1:17" ht="13.2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</row>
    <row r="787" spans="1:17" ht="13.2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</row>
    <row r="788" spans="1:17" ht="13.2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</row>
    <row r="789" spans="1:17" ht="13.2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</row>
    <row r="790" spans="1:17" ht="13.2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</row>
    <row r="791" spans="1:17" ht="13.2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</row>
    <row r="792" spans="1:17" ht="13.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</row>
    <row r="793" spans="1:17" ht="13.2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</row>
    <row r="794" spans="1:17" ht="13.2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</row>
    <row r="795" spans="1:17" ht="13.2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</row>
    <row r="796" spans="1:17" ht="13.2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</row>
    <row r="797" spans="1:17" ht="13.2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</row>
    <row r="798" spans="1:17" ht="13.2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</row>
    <row r="799" spans="1:17" ht="13.2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</row>
    <row r="800" spans="1:17" ht="13.2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</row>
    <row r="801" spans="1:17" ht="13.2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</row>
    <row r="802" spans="1:17" ht="13.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</row>
    <row r="803" spans="1:17" ht="13.2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</row>
    <row r="804" spans="1:17" ht="13.2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</row>
    <row r="805" spans="1:17" ht="13.2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</row>
    <row r="806" spans="1:17" ht="13.2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</row>
    <row r="807" spans="1:17" ht="13.2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</row>
    <row r="808" spans="1:17" ht="13.2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</row>
    <row r="809" spans="1:17" ht="13.2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</row>
    <row r="810" spans="1:17" ht="13.2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</row>
    <row r="811" spans="1:17" ht="13.2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</row>
    <row r="812" spans="1:17" ht="13.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</row>
    <row r="813" spans="1:17" ht="13.2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</row>
    <row r="814" spans="1:17" ht="13.2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</row>
    <row r="815" spans="1:17" ht="13.2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</row>
    <row r="816" spans="1:17" ht="13.2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</row>
    <row r="817" spans="1:17" ht="13.2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</row>
    <row r="818" spans="1:17" ht="13.2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</row>
    <row r="819" spans="1:17" ht="13.2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</row>
    <row r="820" spans="1:17" ht="13.2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</row>
    <row r="821" spans="1:17" ht="13.2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</row>
    <row r="822" spans="1:17" ht="13.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</row>
    <row r="823" spans="1:17" ht="13.2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</row>
    <row r="824" spans="1:17" ht="13.2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</row>
    <row r="825" spans="1:17" ht="13.2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</row>
    <row r="826" spans="1:17" ht="13.2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</row>
    <row r="827" spans="1:17" ht="13.2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</row>
    <row r="828" spans="1:17" ht="13.2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</row>
    <row r="829" spans="1:17" ht="13.2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</row>
    <row r="830" spans="1:17" ht="13.2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</row>
    <row r="831" spans="1:17" ht="13.2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</row>
    <row r="832" spans="1:17" ht="13.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</row>
    <row r="833" spans="1:17" ht="13.2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</row>
    <row r="834" spans="1:17" ht="13.2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</row>
    <row r="835" spans="1:17" ht="13.2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</row>
    <row r="836" spans="1:17" ht="13.2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</row>
    <row r="837" spans="1:17" ht="13.2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</row>
    <row r="838" spans="1:17" ht="13.2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</row>
    <row r="839" spans="1:17" ht="13.2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</row>
    <row r="840" spans="1:17" ht="13.2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</row>
    <row r="841" spans="1:17" ht="13.2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</row>
    <row r="842" spans="1:17" ht="13.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</row>
    <row r="843" spans="1:17" ht="13.2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</row>
    <row r="844" spans="1:17" ht="13.2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</row>
    <row r="845" spans="1:17" ht="13.2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</row>
    <row r="846" spans="1:17" ht="13.2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</row>
    <row r="847" spans="1:17" ht="13.2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</row>
    <row r="848" spans="1:17" ht="13.2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</row>
    <row r="849" spans="1:17" ht="13.2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</row>
    <row r="850" spans="1:17" ht="13.2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</row>
    <row r="851" spans="1:17" ht="13.2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</row>
    <row r="852" spans="1:17" ht="13.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</row>
    <row r="853" spans="1:17" ht="13.2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</row>
    <row r="854" spans="1:17" ht="13.2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</row>
    <row r="855" spans="1:17" ht="13.2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</row>
    <row r="856" spans="1:17" ht="13.2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</row>
    <row r="857" spans="1:17" ht="13.2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</row>
    <row r="858" spans="1:17" ht="13.2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</row>
    <row r="859" spans="1:17" ht="13.2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</row>
    <row r="860" spans="1:17" ht="13.2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</row>
    <row r="861" spans="1:17" ht="13.2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</row>
    <row r="862" spans="1:17" ht="13.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</row>
    <row r="863" spans="1:17" ht="13.2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</row>
    <row r="864" spans="1:17" ht="13.2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</row>
    <row r="865" spans="1:17" ht="13.2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</row>
    <row r="866" spans="1:17" ht="13.2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</row>
    <row r="867" spans="1:17" ht="13.2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</row>
    <row r="868" spans="1:17" ht="13.2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</row>
    <row r="869" spans="1:17" ht="13.2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</row>
    <row r="870" spans="1:17" ht="13.2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</row>
    <row r="871" spans="1:17" ht="13.2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</row>
    <row r="872" spans="1:17" ht="13.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</row>
    <row r="873" spans="1:17" ht="13.2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</row>
    <row r="874" spans="1:17" ht="13.2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</row>
    <row r="875" spans="1:17" ht="13.2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</row>
    <row r="876" spans="1:17" ht="13.2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</row>
    <row r="877" spans="1:17" ht="13.2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</row>
    <row r="878" spans="1:17" ht="13.2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</row>
    <row r="879" spans="1:17" ht="13.2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</row>
    <row r="880" spans="1:17" ht="13.2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</row>
    <row r="881" spans="1:17" ht="13.2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</row>
    <row r="882" spans="1:17" ht="13.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</row>
    <row r="883" spans="1:17" ht="13.2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</row>
    <row r="884" spans="1:17" ht="13.2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</row>
    <row r="885" spans="1:17" ht="13.2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</row>
    <row r="886" spans="1:17" ht="13.2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</row>
    <row r="887" spans="1:17" ht="13.2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</row>
    <row r="888" spans="1:17" ht="13.2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</row>
    <row r="889" spans="1:17" ht="13.2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</row>
    <row r="890" spans="1:17" ht="13.2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</row>
    <row r="891" spans="1:17" ht="13.2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</row>
    <row r="892" spans="1:17" ht="13.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</row>
    <row r="893" spans="1:17" ht="13.2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</row>
    <row r="894" spans="1:17" ht="13.2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</row>
    <row r="895" spans="1:17" ht="13.2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</row>
    <row r="896" spans="1:17" ht="13.2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</row>
    <row r="897" spans="1:17" ht="13.2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</row>
    <row r="898" spans="1:17" ht="13.2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</row>
    <row r="899" spans="1:17" ht="13.2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</row>
    <row r="900" spans="1:17" ht="13.2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</row>
    <row r="901" spans="1:17" ht="13.2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</row>
    <row r="902" spans="1:17" ht="13.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</row>
    <row r="903" spans="1:17" ht="13.2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</row>
    <row r="904" spans="1:17" ht="13.2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</row>
    <row r="905" spans="1:17" ht="13.2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</row>
    <row r="906" spans="1:17" ht="13.2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</row>
    <row r="907" spans="1:17" ht="13.2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</row>
    <row r="908" spans="1:17" ht="13.2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</row>
    <row r="909" spans="1:17" ht="13.2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</row>
    <row r="910" spans="1:17" ht="13.2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</row>
    <row r="911" spans="1:17" ht="13.2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</row>
    <row r="912" spans="1:17" ht="13.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</row>
    <row r="913" spans="1:17" ht="13.2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</row>
    <row r="914" spans="1:17" ht="13.2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</row>
    <row r="915" spans="1:17" ht="13.2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</row>
    <row r="916" spans="1:17" ht="13.2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</row>
    <row r="917" spans="1:17" ht="13.2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</row>
    <row r="918" spans="1:17" ht="13.2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</row>
    <row r="919" spans="1:17" ht="13.2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</row>
    <row r="920" spans="1:17" ht="13.2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</row>
    <row r="921" spans="1:17" ht="13.2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</row>
    <row r="922" spans="1:17" ht="13.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</row>
    <row r="923" spans="1:17" ht="13.2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</row>
    <row r="924" spans="1:17" ht="13.2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</row>
    <row r="925" spans="1:17" ht="13.2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</row>
    <row r="926" spans="1:17" ht="13.2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</row>
    <row r="927" spans="1:17" ht="13.2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</row>
    <row r="928" spans="1:17" ht="13.2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</row>
    <row r="929" spans="1:17" ht="13.2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</row>
    <row r="930" spans="1:17" ht="13.2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</row>
    <row r="931" spans="1:17" ht="13.2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</row>
    <row r="932" spans="1:17" ht="13.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</row>
    <row r="933" spans="1:17" ht="13.2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</row>
    <row r="934" spans="1:17" ht="13.2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</row>
    <row r="935" spans="1:17" ht="13.2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</row>
    <row r="936" spans="1:17" ht="13.2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</row>
    <row r="937" spans="1:17" ht="13.2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</row>
    <row r="938" spans="1:17" ht="13.2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</row>
    <row r="939" spans="1:17" ht="13.2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</row>
    <row r="940" spans="1:17" ht="13.2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</row>
    <row r="941" spans="1:17" ht="13.2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</row>
    <row r="942" spans="1:17" ht="13.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</row>
    <row r="943" spans="1:17" ht="13.2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</row>
    <row r="944" spans="1:17" ht="13.2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</row>
    <row r="945" spans="1:17" ht="13.2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</row>
    <row r="946" spans="1:17" ht="13.2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</row>
    <row r="947" spans="1:17" ht="13.2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</row>
    <row r="948" spans="1:17" ht="13.2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</row>
    <row r="949" spans="1:17" ht="13.2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</row>
    <row r="950" spans="1:17" ht="13.2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</row>
    <row r="951" spans="1:17" ht="13.2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</row>
    <row r="952" spans="1:17" ht="13.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</row>
    <row r="953" spans="1:17" ht="13.2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</row>
    <row r="954" spans="1:17" ht="13.2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</row>
    <row r="955" spans="1:17" ht="13.2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</row>
    <row r="956" spans="1:17" ht="13.2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</row>
    <row r="957" spans="1:17" ht="13.2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</row>
    <row r="958" spans="1:17" ht="13.2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</row>
    <row r="959" spans="1:17" ht="13.2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</row>
    <row r="960" spans="1:17" ht="13.2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</row>
    <row r="961" spans="1:17" ht="13.2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</row>
    <row r="962" spans="1:17" ht="13.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</row>
    <row r="963" spans="1:17" ht="13.2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</row>
    <row r="964" spans="1:17" ht="13.2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</row>
    <row r="965" spans="1:17" ht="13.2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</row>
    <row r="966" spans="1:17" ht="13.2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</row>
    <row r="967" spans="1:17" ht="13.2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</row>
    <row r="968" spans="1:17" ht="13.2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</row>
    <row r="969" spans="1:17" ht="13.2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</row>
    <row r="970" spans="1:17" ht="13.2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</row>
    <row r="971" spans="1:17" ht="13.2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</row>
    <row r="972" spans="1:17" ht="13.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</row>
    <row r="973" spans="1:17" ht="13.2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</row>
    <row r="974" spans="1:17" ht="13.2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</row>
    <row r="975" spans="1:17" ht="13.2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</row>
    <row r="976" spans="1:17" ht="13.2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</row>
    <row r="977" spans="1:17" ht="13.2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</row>
    <row r="978" spans="1:17" ht="13.2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</row>
    <row r="979" spans="1:17" ht="13.2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</row>
    <row r="980" spans="1:17" ht="13.2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</row>
    <row r="981" spans="1:17" ht="13.2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</row>
    <row r="982" spans="1:17" ht="13.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</row>
    <row r="983" spans="1:17" ht="13.2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</row>
    <row r="984" spans="1:17" ht="13.2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</row>
    <row r="985" spans="1:17" ht="13.2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</row>
    <row r="986" spans="1:17" ht="13.2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</row>
    <row r="987" spans="1:17" ht="13.2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</row>
    <row r="988" spans="1:17" ht="13.2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</row>
    <row r="989" spans="1:17" ht="13.2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</row>
    <row r="990" spans="1:17" ht="13.2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</row>
    <row r="991" spans="1:17" ht="13.2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</row>
    <row r="992" spans="1:17" ht="13.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</row>
    <row r="993" spans="1:17" ht="13.2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</row>
    <row r="994" spans="1:17" ht="13.2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</row>
    <row r="995" spans="1:17" ht="13.2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</row>
    <row r="996" spans="1:17" ht="13.2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</row>
    <row r="997" spans="1:17" ht="13.2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</row>
    <row r="998" spans="1:17" ht="13.2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</row>
    <row r="999" spans="1:17" ht="13.2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</row>
    <row r="1000" spans="1:17" ht="13.2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</row>
  </sheetData>
  <autoFilter ref="A1:Z46" xr:uid="{00000000-0009-0000-0000-000004000000}">
    <filterColumn colId="16">
      <filters>
        <filter val="apar cadangan foam expired"/>
        <filter val="Apar DCP di ganti tanggal 26 september 2025"/>
        <filter val="penggantian apar cadangan 3 oktober 2025, apar co2 dilakukan penggantian stiker apar"/>
        <filter val="penggantian apar cadangan 4 september"/>
        <filter val="penggantian apar cadangan 7 september 2025"/>
        <filter val="penggantian apar cadangan 9 september,"/>
        <filter val="penggantian apar cadangan di 27 september 2025"/>
        <filter val="penggantian apar cadangan tanggal 9-10 september 2025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6640625" defaultRowHeight="15.75" customHeight="1"/>
  <cols>
    <col min="1" max="1" width="5.109375" customWidth="1"/>
    <col min="2" max="2" width="16" customWidth="1"/>
    <col min="3" max="4" width="28.88671875" customWidth="1"/>
    <col min="5" max="5" width="28.109375" customWidth="1"/>
    <col min="6" max="6" width="27.44140625" customWidth="1"/>
    <col min="7" max="7" width="28.88671875" customWidth="1"/>
    <col min="8" max="8" width="28.21875" customWidth="1"/>
    <col min="9" max="9" width="27.109375" customWidth="1"/>
    <col min="10" max="10" width="20" customWidth="1"/>
    <col min="11" max="14" width="23.33203125" customWidth="1"/>
  </cols>
  <sheetData>
    <row r="1" spans="1:25" ht="15.75" customHeight="1">
      <c r="A1" s="1"/>
      <c r="B1" s="1"/>
      <c r="C1" s="1"/>
      <c r="D1" s="1"/>
      <c r="E1" s="183" t="s">
        <v>0</v>
      </c>
      <c r="F1" s="184"/>
      <c r="G1" s="184"/>
      <c r="H1" s="184"/>
      <c r="I1" s="184"/>
      <c r="J1" s="185" t="s">
        <v>3</v>
      </c>
      <c r="K1" s="186"/>
      <c r="L1" s="186"/>
      <c r="M1" s="186"/>
      <c r="N1" s="187"/>
      <c r="O1" s="8"/>
      <c r="P1" s="185" t="s">
        <v>5</v>
      </c>
      <c r="Q1" s="186"/>
      <c r="R1" s="186"/>
      <c r="S1" s="186"/>
      <c r="T1" s="186"/>
      <c r="U1" s="187"/>
      <c r="W1" s="9">
        <f ca="1">TODAY()</f>
        <v>46297</v>
      </c>
      <c r="X1" s="10"/>
      <c r="Y1" s="10"/>
    </row>
    <row r="2" spans="1:25">
      <c r="A2" s="209" t="s">
        <v>6</v>
      </c>
      <c r="B2" s="209" t="s">
        <v>7</v>
      </c>
      <c r="C2" s="209" t="s">
        <v>8</v>
      </c>
      <c r="D2" s="209"/>
      <c r="E2" s="193" t="s">
        <v>10</v>
      </c>
      <c r="F2" s="193" t="s">
        <v>13</v>
      </c>
      <c r="G2" s="193" t="s">
        <v>20</v>
      </c>
      <c r="H2" s="193" t="s">
        <v>21</v>
      </c>
      <c r="I2" s="193" t="s">
        <v>22</v>
      </c>
      <c r="J2" s="181" t="s">
        <v>10</v>
      </c>
      <c r="K2" s="181" t="s">
        <v>13</v>
      </c>
      <c r="L2" s="181" t="s">
        <v>20</v>
      </c>
      <c r="M2" s="181" t="s">
        <v>21</v>
      </c>
      <c r="N2" s="181" t="s">
        <v>22</v>
      </c>
      <c r="O2" s="181"/>
      <c r="P2" s="181" t="s">
        <v>10</v>
      </c>
      <c r="Q2" s="181" t="s">
        <v>13</v>
      </c>
      <c r="R2" s="181" t="s">
        <v>20</v>
      </c>
      <c r="S2" s="181" t="s">
        <v>21</v>
      </c>
      <c r="T2" s="181" t="s">
        <v>22</v>
      </c>
      <c r="U2" s="191" t="s">
        <v>28</v>
      </c>
    </row>
    <row r="3" spans="1: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</row>
    <row r="4" spans="1:25" ht="15.75" customHeight="1">
      <c r="A4" s="3">
        <v>1</v>
      </c>
      <c r="B4" s="3" t="s">
        <v>1</v>
      </c>
      <c r="C4" s="22" t="s">
        <v>61</v>
      </c>
      <c r="D4" s="22"/>
      <c r="E4" s="29">
        <v>45862</v>
      </c>
      <c r="F4" s="29">
        <v>45862</v>
      </c>
      <c r="G4" s="29"/>
      <c r="H4" s="29">
        <v>45862</v>
      </c>
      <c r="I4" s="29">
        <v>45862</v>
      </c>
      <c r="J4" s="32">
        <f t="shared" ref="J4:N4" ca="1" si="0">IF(OR($W$1="",E4=""),"",E4-$W$1)</f>
        <v>-435</v>
      </c>
      <c r="K4" s="32">
        <f t="shared" ca="1" si="0"/>
        <v>-435</v>
      </c>
      <c r="L4" s="32" t="str">
        <f t="shared" ca="1" si="0"/>
        <v/>
      </c>
      <c r="M4" s="32">
        <f t="shared" ca="1" si="0"/>
        <v>-435</v>
      </c>
      <c r="N4" s="32">
        <f t="shared" ca="1" si="0"/>
        <v>-435</v>
      </c>
      <c r="O4" s="194"/>
      <c r="P4" s="33">
        <f t="shared" ref="P4:T4" ca="1" si="1">COUNTIF(J4, "&lt;30")</f>
        <v>1</v>
      </c>
      <c r="Q4" s="33">
        <f t="shared" ca="1" si="1"/>
        <v>1</v>
      </c>
      <c r="R4" s="33">
        <f t="shared" ca="1" si="1"/>
        <v>0</v>
      </c>
      <c r="S4" s="33">
        <f t="shared" ca="1" si="1"/>
        <v>1</v>
      </c>
      <c r="T4" s="33">
        <f t="shared" ca="1" si="1"/>
        <v>1</v>
      </c>
      <c r="U4" s="34">
        <f t="shared" ref="U4:U83" ca="1" si="2">COUNTIF(P4:T4, "&gt;0")</f>
        <v>4</v>
      </c>
      <c r="W4" s="3" t="s">
        <v>1</v>
      </c>
      <c r="X4" s="71">
        <v>4</v>
      </c>
    </row>
    <row r="5" spans="1:25" ht="15.75" customHeight="1">
      <c r="A5" s="3">
        <v>2</v>
      </c>
      <c r="B5" s="3" t="s">
        <v>26</v>
      </c>
      <c r="C5" s="22" t="s">
        <v>61</v>
      </c>
      <c r="D5" s="22"/>
      <c r="E5" s="29"/>
      <c r="F5" s="28"/>
      <c r="G5" s="28"/>
      <c r="H5" s="28"/>
      <c r="I5" s="28"/>
      <c r="J5" s="32" t="str">
        <f t="shared" ref="J5:N5" ca="1" si="3">IF(OR($W$1="",E5=""),"",E5-$W$1)</f>
        <v/>
      </c>
      <c r="K5" s="32" t="str">
        <f t="shared" ca="1" si="3"/>
        <v/>
      </c>
      <c r="L5" s="32" t="str">
        <f t="shared" ca="1" si="3"/>
        <v/>
      </c>
      <c r="M5" s="32" t="str">
        <f t="shared" ca="1" si="3"/>
        <v/>
      </c>
      <c r="N5" s="32" t="str">
        <f t="shared" ca="1" si="3"/>
        <v/>
      </c>
      <c r="O5" s="195"/>
      <c r="P5" s="33">
        <f t="shared" ref="P5:T5" ca="1" si="4">COUNTIF(J5, "&lt;30")</f>
        <v>0</v>
      </c>
      <c r="Q5" s="33">
        <f t="shared" ca="1" si="4"/>
        <v>0</v>
      </c>
      <c r="R5" s="33">
        <f t="shared" ca="1" si="4"/>
        <v>0</v>
      </c>
      <c r="S5" s="33">
        <f t="shared" ca="1" si="4"/>
        <v>0</v>
      </c>
      <c r="T5" s="33">
        <f t="shared" ca="1" si="4"/>
        <v>0</v>
      </c>
      <c r="U5" s="34">
        <f t="shared" ca="1" si="2"/>
        <v>0</v>
      </c>
      <c r="W5" s="3" t="s">
        <v>26</v>
      </c>
      <c r="X5" s="71">
        <v>0</v>
      </c>
    </row>
    <row r="6" spans="1:25" ht="15.75" customHeight="1">
      <c r="A6" s="3">
        <v>3</v>
      </c>
      <c r="B6" s="3" t="s">
        <v>47</v>
      </c>
      <c r="C6" s="22" t="s">
        <v>61</v>
      </c>
      <c r="D6" s="22"/>
      <c r="E6" s="29">
        <v>45794</v>
      </c>
      <c r="F6" s="29">
        <v>45794</v>
      </c>
      <c r="G6" s="28"/>
      <c r="H6" s="29">
        <v>45794</v>
      </c>
      <c r="I6" s="29">
        <v>45794</v>
      </c>
      <c r="J6" s="32">
        <f t="shared" ref="J6:N6" ca="1" si="5">IF(OR($W$1="",E6=""),"",E6-$W$1)</f>
        <v>-503</v>
      </c>
      <c r="K6" s="32">
        <f t="shared" ca="1" si="5"/>
        <v>-503</v>
      </c>
      <c r="L6" s="32" t="str">
        <f t="shared" ca="1" si="5"/>
        <v/>
      </c>
      <c r="M6" s="32">
        <f t="shared" ca="1" si="5"/>
        <v>-503</v>
      </c>
      <c r="N6" s="32">
        <f t="shared" ca="1" si="5"/>
        <v>-503</v>
      </c>
      <c r="O6" s="195"/>
      <c r="P6" s="33">
        <f t="shared" ref="P6:T6" ca="1" si="6">COUNTIF(J6, "&lt;30")</f>
        <v>1</v>
      </c>
      <c r="Q6" s="33">
        <f t="shared" ca="1" si="6"/>
        <v>1</v>
      </c>
      <c r="R6" s="33">
        <f t="shared" ca="1" si="6"/>
        <v>0</v>
      </c>
      <c r="S6" s="33">
        <f t="shared" ca="1" si="6"/>
        <v>1</v>
      </c>
      <c r="T6" s="33">
        <f t="shared" ca="1" si="6"/>
        <v>1</v>
      </c>
      <c r="U6" s="34">
        <f t="shared" ca="1" si="2"/>
        <v>4</v>
      </c>
      <c r="W6" s="3" t="s">
        <v>47</v>
      </c>
      <c r="X6" s="71">
        <v>4</v>
      </c>
    </row>
    <row r="7" spans="1:25" ht="15.75" customHeight="1">
      <c r="A7" s="3">
        <v>4</v>
      </c>
      <c r="B7" s="3" t="s">
        <v>51</v>
      </c>
      <c r="C7" s="22" t="s">
        <v>61</v>
      </c>
      <c r="D7" s="22"/>
      <c r="E7" s="28">
        <v>45960</v>
      </c>
      <c r="F7" s="28">
        <v>45960</v>
      </c>
      <c r="G7" s="28"/>
      <c r="H7" s="28">
        <v>45890</v>
      </c>
      <c r="I7" s="28">
        <v>45978</v>
      </c>
      <c r="J7" s="32">
        <f t="shared" ref="J7:N7" ca="1" si="7">IF(OR($W$1="",E7=""),"",E7-$W$1)</f>
        <v>-337</v>
      </c>
      <c r="K7" s="32">
        <f t="shared" ca="1" si="7"/>
        <v>-337</v>
      </c>
      <c r="L7" s="32" t="str">
        <f t="shared" ca="1" si="7"/>
        <v/>
      </c>
      <c r="M7" s="32">
        <f t="shared" ca="1" si="7"/>
        <v>-407</v>
      </c>
      <c r="N7" s="32">
        <f t="shared" ca="1" si="7"/>
        <v>-319</v>
      </c>
      <c r="O7" s="195"/>
      <c r="P7" s="33">
        <f t="shared" ref="P7:T7" ca="1" si="8">COUNTIF(J7, "&lt;30")</f>
        <v>1</v>
      </c>
      <c r="Q7" s="33">
        <f t="shared" ca="1" si="8"/>
        <v>1</v>
      </c>
      <c r="R7" s="33">
        <f t="shared" ca="1" si="8"/>
        <v>0</v>
      </c>
      <c r="S7" s="33">
        <f t="shared" ca="1" si="8"/>
        <v>1</v>
      </c>
      <c r="T7" s="33">
        <f t="shared" ca="1" si="8"/>
        <v>1</v>
      </c>
      <c r="U7" s="34">
        <f t="shared" ca="1" si="2"/>
        <v>4</v>
      </c>
      <c r="W7" s="3" t="s">
        <v>51</v>
      </c>
      <c r="X7" s="71">
        <v>0</v>
      </c>
    </row>
    <row r="8" spans="1:25" ht="15.75" customHeight="1">
      <c r="A8" s="3">
        <v>5</v>
      </c>
      <c r="B8" s="3" t="s">
        <v>65</v>
      </c>
      <c r="C8" s="22" t="s">
        <v>54</v>
      </c>
      <c r="D8" s="22"/>
      <c r="E8" s="28"/>
      <c r="F8" s="28"/>
      <c r="G8" s="28"/>
      <c r="H8" s="28">
        <v>45978</v>
      </c>
      <c r="I8" s="28">
        <v>45978</v>
      </c>
      <c r="J8" s="32" t="str">
        <f t="shared" ref="J8:N8" ca="1" si="9">IF(OR($W$1="",E8=""),"",E8-$W$1)</f>
        <v/>
      </c>
      <c r="K8" s="32" t="str">
        <f t="shared" ca="1" si="9"/>
        <v/>
      </c>
      <c r="L8" s="32" t="str">
        <f t="shared" ca="1" si="9"/>
        <v/>
      </c>
      <c r="M8" s="32">
        <f t="shared" ca="1" si="9"/>
        <v>-319</v>
      </c>
      <c r="N8" s="32">
        <f t="shared" ca="1" si="9"/>
        <v>-319</v>
      </c>
      <c r="O8" s="195"/>
      <c r="P8" s="33">
        <f t="shared" ref="P8:T8" ca="1" si="10">COUNTIF(J8, "&lt;30")</f>
        <v>0</v>
      </c>
      <c r="Q8" s="33">
        <f t="shared" ca="1" si="10"/>
        <v>0</v>
      </c>
      <c r="R8" s="33">
        <f t="shared" ca="1" si="10"/>
        <v>0</v>
      </c>
      <c r="S8" s="33">
        <f t="shared" ca="1" si="10"/>
        <v>1</v>
      </c>
      <c r="T8" s="33">
        <f t="shared" ca="1" si="10"/>
        <v>1</v>
      </c>
      <c r="U8" s="34">
        <f t="shared" ca="1" si="2"/>
        <v>2</v>
      </c>
      <c r="W8" s="3" t="s">
        <v>65</v>
      </c>
      <c r="X8" s="71">
        <v>0</v>
      </c>
    </row>
    <row r="9" spans="1:25" ht="15.75" customHeight="1">
      <c r="A9" s="3">
        <v>6</v>
      </c>
      <c r="B9" s="3" t="s">
        <v>67</v>
      </c>
      <c r="C9" s="22" t="s">
        <v>54</v>
      </c>
      <c r="D9" s="22"/>
      <c r="E9" s="28">
        <v>45854</v>
      </c>
      <c r="F9" s="28">
        <v>45854</v>
      </c>
      <c r="G9" s="28"/>
      <c r="H9" s="28"/>
      <c r="I9" s="28"/>
      <c r="J9" s="32">
        <f t="shared" ref="J9:N9" ca="1" si="11">IF(OR($W$1="",E9=""),"",E9-$W$1)</f>
        <v>-443</v>
      </c>
      <c r="K9" s="32">
        <f t="shared" ca="1" si="11"/>
        <v>-443</v>
      </c>
      <c r="L9" s="32" t="str">
        <f t="shared" ca="1" si="11"/>
        <v/>
      </c>
      <c r="M9" s="32" t="str">
        <f t="shared" ca="1" si="11"/>
        <v/>
      </c>
      <c r="N9" s="32" t="str">
        <f t="shared" ca="1" si="11"/>
        <v/>
      </c>
      <c r="O9" s="195"/>
      <c r="P9" s="33">
        <f t="shared" ref="P9:T9" ca="1" si="12">COUNTIF(J9, "&lt;30")</f>
        <v>1</v>
      </c>
      <c r="Q9" s="33">
        <f t="shared" ca="1" si="12"/>
        <v>1</v>
      </c>
      <c r="R9" s="33">
        <f t="shared" ca="1" si="12"/>
        <v>0</v>
      </c>
      <c r="S9" s="33">
        <f t="shared" ca="1" si="12"/>
        <v>0</v>
      </c>
      <c r="T9" s="33">
        <f t="shared" ca="1" si="12"/>
        <v>0</v>
      </c>
      <c r="U9" s="34">
        <f t="shared" ca="1" si="2"/>
        <v>2</v>
      </c>
      <c r="W9" s="3" t="s">
        <v>67</v>
      </c>
      <c r="X9" s="71">
        <v>2</v>
      </c>
    </row>
    <row r="10" spans="1:25" ht="15.75" customHeight="1">
      <c r="A10" s="3">
        <v>7</v>
      </c>
      <c r="B10" s="3" t="s">
        <v>68</v>
      </c>
      <c r="C10" s="22" t="s">
        <v>54</v>
      </c>
      <c r="D10" s="22"/>
      <c r="E10" s="28">
        <v>45822</v>
      </c>
      <c r="F10" s="28">
        <v>45822</v>
      </c>
      <c r="G10" s="28"/>
      <c r="H10" s="28">
        <v>45822</v>
      </c>
      <c r="I10" s="28">
        <v>45822</v>
      </c>
      <c r="J10" s="32">
        <f t="shared" ref="J10:N10" ca="1" si="13">IF(OR($W$1="",E10=""),"",E10-$W$1)</f>
        <v>-475</v>
      </c>
      <c r="K10" s="32">
        <f t="shared" ca="1" si="13"/>
        <v>-475</v>
      </c>
      <c r="L10" s="32" t="str">
        <f t="shared" ca="1" si="13"/>
        <v/>
      </c>
      <c r="M10" s="32">
        <f t="shared" ca="1" si="13"/>
        <v>-475</v>
      </c>
      <c r="N10" s="32">
        <f t="shared" ca="1" si="13"/>
        <v>-475</v>
      </c>
      <c r="O10" s="195"/>
      <c r="P10" s="33">
        <f t="shared" ref="P10:T10" ca="1" si="14">COUNTIF(J10, "&lt;30")</f>
        <v>1</v>
      </c>
      <c r="Q10" s="33">
        <f t="shared" ca="1" si="14"/>
        <v>1</v>
      </c>
      <c r="R10" s="33">
        <f t="shared" ca="1" si="14"/>
        <v>0</v>
      </c>
      <c r="S10" s="33">
        <f t="shared" ca="1" si="14"/>
        <v>1</v>
      </c>
      <c r="T10" s="33">
        <f t="shared" ca="1" si="14"/>
        <v>1</v>
      </c>
      <c r="U10" s="34">
        <f t="shared" ca="1" si="2"/>
        <v>4</v>
      </c>
      <c r="W10" s="3" t="s">
        <v>68</v>
      </c>
      <c r="X10" s="71">
        <v>4</v>
      </c>
    </row>
    <row r="11" spans="1:25" ht="15.75" customHeight="1">
      <c r="A11" s="3">
        <v>8</v>
      </c>
      <c r="B11" s="36" t="s">
        <v>76</v>
      </c>
      <c r="C11" s="22" t="s">
        <v>54</v>
      </c>
      <c r="D11" s="22"/>
      <c r="E11" s="28">
        <v>45844</v>
      </c>
      <c r="F11" s="28">
        <v>45844</v>
      </c>
      <c r="G11" s="28">
        <v>45844</v>
      </c>
      <c r="H11" s="28">
        <v>45844</v>
      </c>
      <c r="I11" s="28"/>
      <c r="J11" s="32">
        <f t="shared" ref="J11:N11" ca="1" si="15">IF(OR($W$1="",E11=""),"",E11-$W$1)</f>
        <v>-453</v>
      </c>
      <c r="K11" s="32">
        <f t="shared" ca="1" si="15"/>
        <v>-453</v>
      </c>
      <c r="L11" s="32">
        <f t="shared" ca="1" si="15"/>
        <v>-453</v>
      </c>
      <c r="M11" s="32">
        <f t="shared" ca="1" si="15"/>
        <v>-453</v>
      </c>
      <c r="N11" s="32" t="str">
        <f t="shared" ca="1" si="15"/>
        <v/>
      </c>
      <c r="O11" s="195"/>
      <c r="P11" s="33">
        <f t="shared" ref="P11:T11" ca="1" si="16">COUNTIF(J11, "&lt;30")</f>
        <v>1</v>
      </c>
      <c r="Q11" s="33">
        <f t="shared" ca="1" si="16"/>
        <v>1</v>
      </c>
      <c r="R11" s="33">
        <f t="shared" ca="1" si="16"/>
        <v>1</v>
      </c>
      <c r="S11" s="33">
        <f t="shared" ca="1" si="16"/>
        <v>1</v>
      </c>
      <c r="T11" s="33">
        <f t="shared" ca="1" si="16"/>
        <v>0</v>
      </c>
      <c r="U11" s="34">
        <f t="shared" ca="1" si="2"/>
        <v>4</v>
      </c>
      <c r="W11" s="36" t="s">
        <v>76</v>
      </c>
      <c r="X11" s="71">
        <v>4</v>
      </c>
    </row>
    <row r="12" spans="1:25" ht="15.75" customHeight="1">
      <c r="A12" s="3">
        <v>9</v>
      </c>
      <c r="B12" s="36" t="s">
        <v>78</v>
      </c>
      <c r="C12" s="86" t="s">
        <v>54</v>
      </c>
      <c r="D12" s="86"/>
      <c r="E12" s="28">
        <v>45927</v>
      </c>
      <c r="F12" s="28">
        <v>45927</v>
      </c>
      <c r="G12" s="28">
        <v>45927</v>
      </c>
      <c r="H12" s="28">
        <v>45927</v>
      </c>
      <c r="I12" s="28"/>
      <c r="J12" s="32">
        <f t="shared" ref="J12:N12" ca="1" si="17">IF(OR($W$1="",E12=""),"",E12-$W$1)</f>
        <v>-370</v>
      </c>
      <c r="K12" s="32">
        <f t="shared" ca="1" si="17"/>
        <v>-370</v>
      </c>
      <c r="L12" s="32">
        <f t="shared" ca="1" si="17"/>
        <v>-370</v>
      </c>
      <c r="M12" s="32">
        <f t="shared" ca="1" si="17"/>
        <v>-370</v>
      </c>
      <c r="N12" s="32" t="str">
        <f t="shared" ca="1" si="17"/>
        <v/>
      </c>
      <c r="O12" s="195"/>
      <c r="P12" s="33">
        <f t="shared" ref="P12:T12" ca="1" si="18">COUNTIF(J12, "&lt;30")</f>
        <v>1</v>
      </c>
      <c r="Q12" s="33">
        <f t="shared" ca="1" si="18"/>
        <v>1</v>
      </c>
      <c r="R12" s="33">
        <f t="shared" ca="1" si="18"/>
        <v>1</v>
      </c>
      <c r="S12" s="33">
        <f t="shared" ca="1" si="18"/>
        <v>1</v>
      </c>
      <c r="T12" s="33">
        <f t="shared" ca="1" si="18"/>
        <v>0</v>
      </c>
      <c r="U12" s="34">
        <f t="shared" ca="1" si="2"/>
        <v>4</v>
      </c>
      <c r="W12" s="36" t="s">
        <v>78</v>
      </c>
      <c r="X12" s="71">
        <v>0</v>
      </c>
    </row>
    <row r="13" spans="1:25" ht="15.75" customHeight="1">
      <c r="A13" s="3">
        <v>10</v>
      </c>
      <c r="B13" s="3" t="s">
        <v>79</v>
      </c>
      <c r="C13" s="22" t="s">
        <v>54</v>
      </c>
      <c r="D13" s="22"/>
      <c r="E13" s="28">
        <v>45763</v>
      </c>
      <c r="F13" s="28">
        <v>45763</v>
      </c>
      <c r="G13" s="28"/>
      <c r="H13" s="28"/>
      <c r="I13" s="28"/>
      <c r="J13" s="32">
        <f t="shared" ref="J13:N13" ca="1" si="19">IF(OR($W$1="",E13=""),"",E13-$W$1)</f>
        <v>-534</v>
      </c>
      <c r="K13" s="32">
        <f t="shared" ca="1" si="19"/>
        <v>-534</v>
      </c>
      <c r="L13" s="32" t="str">
        <f t="shared" ca="1" si="19"/>
        <v/>
      </c>
      <c r="M13" s="32" t="str">
        <f t="shared" ca="1" si="19"/>
        <v/>
      </c>
      <c r="N13" s="32" t="str">
        <f t="shared" ca="1" si="19"/>
        <v/>
      </c>
      <c r="O13" s="195"/>
      <c r="P13" s="33">
        <f t="shared" ref="P13:T13" ca="1" si="20">COUNTIF(J13, "&lt;30")</f>
        <v>1</v>
      </c>
      <c r="Q13" s="33">
        <f t="shared" ca="1" si="20"/>
        <v>1</v>
      </c>
      <c r="R13" s="33">
        <f t="shared" ca="1" si="20"/>
        <v>0</v>
      </c>
      <c r="S13" s="33">
        <f t="shared" ca="1" si="20"/>
        <v>0</v>
      </c>
      <c r="T13" s="33">
        <f t="shared" ca="1" si="20"/>
        <v>0</v>
      </c>
      <c r="U13" s="34">
        <f t="shared" ca="1" si="2"/>
        <v>2</v>
      </c>
      <c r="V13" s="49"/>
      <c r="W13" s="3" t="s">
        <v>79</v>
      </c>
      <c r="X13" s="47">
        <v>2</v>
      </c>
      <c r="Y13" s="47"/>
    </row>
    <row r="14" spans="1:25" ht="15.75" customHeight="1">
      <c r="A14" s="3">
        <v>11</v>
      </c>
      <c r="B14" s="3" t="s">
        <v>56</v>
      </c>
      <c r="C14" s="22" t="s">
        <v>54</v>
      </c>
      <c r="D14" s="22"/>
      <c r="E14" s="28"/>
      <c r="F14" s="28"/>
      <c r="G14" s="28"/>
      <c r="H14" s="28"/>
      <c r="I14" s="28"/>
      <c r="J14" s="32" t="str">
        <f t="shared" ref="J14:N14" ca="1" si="21">IF(OR($W$1="",E14=""),"",E14-$W$1)</f>
        <v/>
      </c>
      <c r="K14" s="32" t="str">
        <f t="shared" ca="1" si="21"/>
        <v/>
      </c>
      <c r="L14" s="32" t="str">
        <f t="shared" ca="1" si="21"/>
        <v/>
      </c>
      <c r="M14" s="32" t="str">
        <f t="shared" ca="1" si="21"/>
        <v/>
      </c>
      <c r="N14" s="32" t="str">
        <f t="shared" ca="1" si="21"/>
        <v/>
      </c>
      <c r="O14" s="195"/>
      <c r="P14" s="33">
        <f t="shared" ref="P14:T14" ca="1" si="22">COUNTIF(J14, "&lt;30")</f>
        <v>0</v>
      </c>
      <c r="Q14" s="33">
        <f t="shared" ca="1" si="22"/>
        <v>0</v>
      </c>
      <c r="R14" s="33">
        <f t="shared" ca="1" si="22"/>
        <v>0</v>
      </c>
      <c r="S14" s="33">
        <f t="shared" ca="1" si="22"/>
        <v>0</v>
      </c>
      <c r="T14" s="33">
        <f t="shared" ca="1" si="22"/>
        <v>0</v>
      </c>
      <c r="U14" s="34">
        <f t="shared" ca="1" si="2"/>
        <v>0</v>
      </c>
      <c r="V14" s="52"/>
      <c r="W14" s="3" t="s">
        <v>56</v>
      </c>
      <c r="X14" s="47">
        <v>0</v>
      </c>
      <c r="Y14" s="47"/>
    </row>
    <row r="15" spans="1:25" ht="15.75" customHeight="1">
      <c r="A15" s="3">
        <v>12</v>
      </c>
      <c r="B15" s="3" t="s">
        <v>53</v>
      </c>
      <c r="C15" s="22" t="s">
        <v>54</v>
      </c>
      <c r="D15" s="22"/>
      <c r="E15" s="28">
        <v>46187</v>
      </c>
      <c r="F15" s="28">
        <v>45875</v>
      </c>
      <c r="G15" s="28"/>
      <c r="H15" s="28">
        <v>45890</v>
      </c>
      <c r="I15" s="28">
        <v>45890</v>
      </c>
      <c r="J15" s="32">
        <f t="shared" ref="J15:N15" ca="1" si="23">IF(OR($W$1="",E15=""),"",E15-$W$1)</f>
        <v>-110</v>
      </c>
      <c r="K15" s="32">
        <f t="shared" ca="1" si="23"/>
        <v>-422</v>
      </c>
      <c r="L15" s="32" t="str">
        <f t="shared" ca="1" si="23"/>
        <v/>
      </c>
      <c r="M15" s="32">
        <f t="shared" ca="1" si="23"/>
        <v>-407</v>
      </c>
      <c r="N15" s="32">
        <f t="shared" ca="1" si="23"/>
        <v>-407</v>
      </c>
      <c r="O15" s="195"/>
      <c r="P15" s="33">
        <f t="shared" ref="P15:T15" ca="1" si="24">COUNTIF(J15, "&lt;30")</f>
        <v>1</v>
      </c>
      <c r="Q15" s="33">
        <f t="shared" ca="1" si="24"/>
        <v>1</v>
      </c>
      <c r="R15" s="33">
        <f t="shared" ca="1" si="24"/>
        <v>0</v>
      </c>
      <c r="S15" s="33">
        <f t="shared" ca="1" si="24"/>
        <v>1</v>
      </c>
      <c r="T15" s="33">
        <f t="shared" ca="1" si="24"/>
        <v>1</v>
      </c>
      <c r="U15" s="34">
        <f t="shared" ca="1" si="2"/>
        <v>4</v>
      </c>
      <c r="V15" s="52"/>
      <c r="W15" s="3" t="s">
        <v>53</v>
      </c>
      <c r="X15" s="47">
        <v>0</v>
      </c>
      <c r="Y15" s="47"/>
    </row>
    <row r="16" spans="1:25" ht="15.75" customHeight="1">
      <c r="A16" s="3">
        <v>13</v>
      </c>
      <c r="B16" s="3" t="s">
        <v>58</v>
      </c>
      <c r="C16" s="22" t="s">
        <v>54</v>
      </c>
      <c r="D16" s="22"/>
      <c r="E16" s="28">
        <v>45890</v>
      </c>
      <c r="F16" s="28">
        <v>45890</v>
      </c>
      <c r="G16" s="28"/>
      <c r="H16" s="28">
        <v>45890</v>
      </c>
      <c r="I16" s="28">
        <v>45890</v>
      </c>
      <c r="J16" s="32">
        <f t="shared" ref="J16:N16" ca="1" si="25">IF(OR($W$1="",E16=""),"",E16-$W$1)</f>
        <v>-407</v>
      </c>
      <c r="K16" s="32">
        <f t="shared" ca="1" si="25"/>
        <v>-407</v>
      </c>
      <c r="L16" s="32" t="str">
        <f t="shared" ca="1" si="25"/>
        <v/>
      </c>
      <c r="M16" s="32">
        <f t="shared" ca="1" si="25"/>
        <v>-407</v>
      </c>
      <c r="N16" s="32">
        <f t="shared" ca="1" si="25"/>
        <v>-407</v>
      </c>
      <c r="O16" s="195"/>
      <c r="P16" s="33">
        <f t="shared" ref="P16:T16" ca="1" si="26">COUNTIF(J16, "&lt;30")</f>
        <v>1</v>
      </c>
      <c r="Q16" s="33">
        <f t="shared" ca="1" si="26"/>
        <v>1</v>
      </c>
      <c r="R16" s="33">
        <f t="shared" ca="1" si="26"/>
        <v>0</v>
      </c>
      <c r="S16" s="33">
        <f t="shared" ca="1" si="26"/>
        <v>1</v>
      </c>
      <c r="T16" s="33">
        <f t="shared" ca="1" si="26"/>
        <v>1</v>
      </c>
      <c r="U16" s="34">
        <f t="shared" ca="1" si="2"/>
        <v>4</v>
      </c>
      <c r="V16" s="52"/>
      <c r="W16" s="3" t="s">
        <v>58</v>
      </c>
      <c r="X16" s="47">
        <v>0</v>
      </c>
      <c r="Y16" s="47"/>
    </row>
    <row r="17" spans="1:25" ht="15.75" customHeight="1">
      <c r="A17" s="3">
        <v>14</v>
      </c>
      <c r="B17" s="3" t="s">
        <v>60</v>
      </c>
      <c r="C17" s="22" t="s">
        <v>54</v>
      </c>
      <c r="D17" s="22"/>
      <c r="E17" s="28">
        <v>45927</v>
      </c>
      <c r="F17" s="28">
        <v>45927</v>
      </c>
      <c r="G17" s="28">
        <v>45890</v>
      </c>
      <c r="H17" s="28">
        <v>45890</v>
      </c>
      <c r="I17" s="28"/>
      <c r="J17" s="32">
        <f t="shared" ref="J17:N17" ca="1" si="27">IF(OR($W$1="",E17=""),"",E17-$W$1)</f>
        <v>-370</v>
      </c>
      <c r="K17" s="32">
        <f t="shared" ca="1" si="27"/>
        <v>-370</v>
      </c>
      <c r="L17" s="32">
        <f t="shared" ca="1" si="27"/>
        <v>-407</v>
      </c>
      <c r="M17" s="32">
        <f t="shared" ca="1" si="27"/>
        <v>-407</v>
      </c>
      <c r="N17" s="32" t="str">
        <f t="shared" ca="1" si="27"/>
        <v/>
      </c>
      <c r="O17" s="195"/>
      <c r="P17" s="33">
        <f t="shared" ref="P17:T17" ca="1" si="28">COUNTIF(J17, "&lt;30")</f>
        <v>1</v>
      </c>
      <c r="Q17" s="33">
        <f t="shared" ca="1" si="28"/>
        <v>1</v>
      </c>
      <c r="R17" s="33">
        <f t="shared" ca="1" si="28"/>
        <v>1</v>
      </c>
      <c r="S17" s="33">
        <f t="shared" ca="1" si="28"/>
        <v>1</v>
      </c>
      <c r="T17" s="33">
        <f t="shared" ca="1" si="28"/>
        <v>0</v>
      </c>
      <c r="U17" s="34">
        <f t="shared" ca="1" si="2"/>
        <v>4</v>
      </c>
      <c r="V17" s="53"/>
      <c r="W17" s="3" t="s">
        <v>60</v>
      </c>
      <c r="X17" s="47">
        <v>0</v>
      </c>
      <c r="Y17" s="47"/>
    </row>
    <row r="18" spans="1:25" ht="15.75" customHeight="1">
      <c r="A18" s="3">
        <v>15</v>
      </c>
      <c r="B18" s="3" t="s">
        <v>63</v>
      </c>
      <c r="C18" s="22" t="s">
        <v>54</v>
      </c>
      <c r="D18" s="22"/>
      <c r="E18" s="28">
        <v>45885</v>
      </c>
      <c r="F18" s="28">
        <v>45885</v>
      </c>
      <c r="G18" s="28"/>
      <c r="H18" s="28">
        <v>45927</v>
      </c>
      <c r="I18" s="28">
        <v>45927</v>
      </c>
      <c r="J18" s="32">
        <v>16</v>
      </c>
      <c r="K18" s="32">
        <f t="shared" ref="K18:N18" ca="1" si="29">IF(OR($W$1="",F18=""),"",F18-$W$1)</f>
        <v>-412</v>
      </c>
      <c r="L18" s="32" t="str">
        <f t="shared" ca="1" si="29"/>
        <v/>
      </c>
      <c r="M18" s="32">
        <f t="shared" ca="1" si="29"/>
        <v>-370</v>
      </c>
      <c r="N18" s="32">
        <f t="shared" ca="1" si="29"/>
        <v>-370</v>
      </c>
      <c r="O18" s="195"/>
      <c r="P18" s="33">
        <f t="shared" ref="P18:T18" si="30">COUNTIF(J18, "&lt;30")</f>
        <v>1</v>
      </c>
      <c r="Q18" s="33">
        <f t="shared" ca="1" si="30"/>
        <v>1</v>
      </c>
      <c r="R18" s="33">
        <f t="shared" ca="1" si="30"/>
        <v>0</v>
      </c>
      <c r="S18" s="33">
        <f t="shared" ca="1" si="30"/>
        <v>1</v>
      </c>
      <c r="T18" s="33">
        <f t="shared" ca="1" si="30"/>
        <v>1</v>
      </c>
      <c r="U18" s="34">
        <f t="shared" ca="1" si="2"/>
        <v>4</v>
      </c>
      <c r="V18" s="52"/>
      <c r="W18" s="3" t="s">
        <v>63</v>
      </c>
      <c r="X18" s="47">
        <v>1</v>
      </c>
      <c r="Y18" s="47"/>
    </row>
    <row r="19" spans="1:25" ht="15.75" customHeight="1">
      <c r="A19" s="3">
        <v>16</v>
      </c>
      <c r="B19" s="3" t="s">
        <v>72</v>
      </c>
      <c r="C19" s="22" t="s">
        <v>45</v>
      </c>
      <c r="D19" s="22"/>
      <c r="E19" s="28"/>
      <c r="F19" s="28"/>
      <c r="G19" s="28"/>
      <c r="H19" s="28">
        <v>45927</v>
      </c>
      <c r="I19" s="28">
        <v>45927</v>
      </c>
      <c r="J19" s="32" t="str">
        <f t="shared" ref="J19:N19" ca="1" si="31">IF(OR($W$1="",E19=""),"",E19-$W$1)</f>
        <v/>
      </c>
      <c r="K19" s="32" t="str">
        <f t="shared" ca="1" si="31"/>
        <v/>
      </c>
      <c r="L19" s="32" t="str">
        <f t="shared" ca="1" si="31"/>
        <v/>
      </c>
      <c r="M19" s="32">
        <f t="shared" ca="1" si="31"/>
        <v>-370</v>
      </c>
      <c r="N19" s="32">
        <f t="shared" ca="1" si="31"/>
        <v>-370</v>
      </c>
      <c r="O19" s="195"/>
      <c r="P19" s="33">
        <f t="shared" ref="P19:T19" ca="1" si="32">COUNTIF(J19, "&lt;30")</f>
        <v>0</v>
      </c>
      <c r="Q19" s="33">
        <f t="shared" ca="1" si="32"/>
        <v>0</v>
      </c>
      <c r="R19" s="33">
        <f t="shared" ca="1" si="32"/>
        <v>0</v>
      </c>
      <c r="S19" s="33">
        <f t="shared" ca="1" si="32"/>
        <v>1</v>
      </c>
      <c r="T19" s="33">
        <f t="shared" ca="1" si="32"/>
        <v>1</v>
      </c>
      <c r="U19" s="34">
        <f t="shared" ca="1" si="2"/>
        <v>2</v>
      </c>
      <c r="V19" s="52"/>
      <c r="W19" s="3" t="s">
        <v>72</v>
      </c>
      <c r="X19" s="47">
        <v>0</v>
      </c>
      <c r="Y19" s="47"/>
    </row>
    <row r="20" spans="1:25" ht="15.75" customHeight="1">
      <c r="A20" s="3">
        <v>17</v>
      </c>
      <c r="B20" s="3" t="s">
        <v>71</v>
      </c>
      <c r="C20" s="22" t="s">
        <v>45</v>
      </c>
      <c r="D20" s="22"/>
      <c r="E20" s="28">
        <v>45890</v>
      </c>
      <c r="F20" s="28">
        <v>45890</v>
      </c>
      <c r="G20" s="28"/>
      <c r="H20" s="28">
        <v>45978</v>
      </c>
      <c r="I20" s="28">
        <v>45978</v>
      </c>
      <c r="J20" s="32">
        <f t="shared" ref="J20:N20" ca="1" si="33">IF(OR($W$1="",E20=""),"",E20-$W$1)</f>
        <v>-407</v>
      </c>
      <c r="K20" s="32">
        <f t="shared" ca="1" si="33"/>
        <v>-407</v>
      </c>
      <c r="L20" s="32" t="str">
        <f t="shared" ca="1" si="33"/>
        <v/>
      </c>
      <c r="M20" s="32">
        <f t="shared" ca="1" si="33"/>
        <v>-319</v>
      </c>
      <c r="N20" s="32">
        <f t="shared" ca="1" si="33"/>
        <v>-319</v>
      </c>
      <c r="O20" s="195"/>
      <c r="P20" s="33">
        <f t="shared" ref="P20:T20" ca="1" si="34">COUNTIF(J20, "&lt;30")</f>
        <v>1</v>
      </c>
      <c r="Q20" s="33">
        <f t="shared" ca="1" si="34"/>
        <v>1</v>
      </c>
      <c r="R20" s="33">
        <f t="shared" ca="1" si="34"/>
        <v>0</v>
      </c>
      <c r="S20" s="33">
        <f t="shared" ca="1" si="34"/>
        <v>1</v>
      </c>
      <c r="T20" s="33">
        <f t="shared" ca="1" si="34"/>
        <v>1</v>
      </c>
      <c r="U20" s="34">
        <f t="shared" ca="1" si="2"/>
        <v>4</v>
      </c>
      <c r="V20" s="58"/>
      <c r="W20" s="3" t="s">
        <v>71</v>
      </c>
      <c r="X20" s="47">
        <v>0</v>
      </c>
      <c r="Y20" s="47"/>
    </row>
    <row r="21" spans="1:25" ht="15.75" customHeight="1">
      <c r="A21" s="3">
        <v>19</v>
      </c>
      <c r="B21" s="85" t="s">
        <v>148</v>
      </c>
      <c r="C21" s="88" t="s">
        <v>145</v>
      </c>
      <c r="D21" s="89"/>
      <c r="E21" s="28">
        <v>45889</v>
      </c>
      <c r="F21" s="28">
        <v>45889</v>
      </c>
      <c r="G21" s="28"/>
      <c r="H21" s="28">
        <v>45863</v>
      </c>
      <c r="I21" s="28"/>
      <c r="J21" s="32">
        <f t="shared" ref="J21:N21" ca="1" si="35">IF(OR($W$1="",E21=""),"",E21-$W$1)</f>
        <v>-408</v>
      </c>
      <c r="K21" s="32">
        <f t="shared" ca="1" si="35"/>
        <v>-408</v>
      </c>
      <c r="L21" s="32" t="str">
        <f t="shared" ca="1" si="35"/>
        <v/>
      </c>
      <c r="M21" s="32">
        <f t="shared" ca="1" si="35"/>
        <v>-434</v>
      </c>
      <c r="N21" s="32" t="str">
        <f t="shared" ca="1" si="35"/>
        <v/>
      </c>
      <c r="O21" s="195"/>
      <c r="P21" s="33">
        <f t="shared" ref="P21:T21" ca="1" si="36">COUNTIF(J21, "&lt;30")</f>
        <v>1</v>
      </c>
      <c r="Q21" s="33">
        <f t="shared" ca="1" si="36"/>
        <v>1</v>
      </c>
      <c r="R21" s="33">
        <f t="shared" ca="1" si="36"/>
        <v>0</v>
      </c>
      <c r="S21" s="33">
        <f t="shared" ca="1" si="36"/>
        <v>1</v>
      </c>
      <c r="T21" s="33">
        <f t="shared" ca="1" si="36"/>
        <v>0</v>
      </c>
      <c r="U21" s="34">
        <f t="shared" ca="1" si="2"/>
        <v>3</v>
      </c>
      <c r="V21" s="52"/>
      <c r="W21" s="85" t="s">
        <v>148</v>
      </c>
      <c r="X21" s="47">
        <v>1</v>
      </c>
      <c r="Y21" s="47"/>
    </row>
    <row r="22" spans="1:25" ht="15.75" customHeight="1">
      <c r="A22" s="3">
        <v>20</v>
      </c>
      <c r="B22" s="3" t="s">
        <v>144</v>
      </c>
      <c r="C22" s="22" t="s">
        <v>145</v>
      </c>
      <c r="D22" s="22"/>
      <c r="E22" s="28">
        <v>45909</v>
      </c>
      <c r="F22" s="28">
        <v>45927</v>
      </c>
      <c r="G22" s="28">
        <v>45862</v>
      </c>
      <c r="H22" s="28">
        <v>45862</v>
      </c>
      <c r="I22" s="28"/>
      <c r="J22" s="32">
        <f t="shared" ref="J22:N22" ca="1" si="37">IF(OR($W$1="",E22=""),"",E22-$W$1)</f>
        <v>-388</v>
      </c>
      <c r="K22" s="32">
        <f t="shared" ca="1" si="37"/>
        <v>-370</v>
      </c>
      <c r="L22" s="32">
        <f t="shared" ca="1" si="37"/>
        <v>-435</v>
      </c>
      <c r="M22" s="32">
        <f t="shared" ca="1" si="37"/>
        <v>-435</v>
      </c>
      <c r="N22" s="32" t="str">
        <f t="shared" ca="1" si="37"/>
        <v/>
      </c>
      <c r="O22" s="195"/>
      <c r="P22" s="33">
        <f t="shared" ref="P22:T22" ca="1" si="38">COUNTIF(J22, "&lt;30")</f>
        <v>1</v>
      </c>
      <c r="Q22" s="33">
        <f t="shared" ca="1" si="38"/>
        <v>1</v>
      </c>
      <c r="R22" s="33">
        <f t="shared" ca="1" si="38"/>
        <v>1</v>
      </c>
      <c r="S22" s="33">
        <f t="shared" ca="1" si="38"/>
        <v>1</v>
      </c>
      <c r="T22" s="33">
        <f t="shared" ca="1" si="38"/>
        <v>0</v>
      </c>
      <c r="U22" s="34">
        <f t="shared" ca="1" si="2"/>
        <v>4</v>
      </c>
      <c r="V22" s="52"/>
      <c r="W22" s="3" t="s">
        <v>144</v>
      </c>
      <c r="X22" s="47">
        <v>2</v>
      </c>
      <c r="Y22" s="47"/>
    </row>
    <row r="23" spans="1:25" ht="15.75" customHeight="1">
      <c r="A23" s="3">
        <v>21</v>
      </c>
      <c r="B23" s="3" t="s">
        <v>151</v>
      </c>
      <c r="C23" s="22" t="s">
        <v>152</v>
      </c>
      <c r="D23" s="22"/>
      <c r="E23" s="28">
        <v>45978</v>
      </c>
      <c r="F23" s="28">
        <v>45978</v>
      </c>
      <c r="G23" s="28"/>
      <c r="H23" s="28">
        <v>45978</v>
      </c>
      <c r="I23" s="28">
        <v>45862</v>
      </c>
      <c r="J23" s="32">
        <f t="shared" ref="J23:N23" ca="1" si="39">IF(OR($W$1="",E23=""),"",E23-$W$1)</f>
        <v>-319</v>
      </c>
      <c r="K23" s="32">
        <f t="shared" ca="1" si="39"/>
        <v>-319</v>
      </c>
      <c r="L23" s="32" t="str">
        <f t="shared" ca="1" si="39"/>
        <v/>
      </c>
      <c r="M23" s="32">
        <f t="shared" ca="1" si="39"/>
        <v>-319</v>
      </c>
      <c r="N23" s="32">
        <f t="shared" ca="1" si="39"/>
        <v>-435</v>
      </c>
      <c r="O23" s="195"/>
      <c r="P23" s="33">
        <f t="shared" ref="P23:T23" ca="1" si="40">COUNTIF(J23, "&lt;30")</f>
        <v>1</v>
      </c>
      <c r="Q23" s="33">
        <f t="shared" ca="1" si="40"/>
        <v>1</v>
      </c>
      <c r="R23" s="33">
        <f t="shared" ca="1" si="40"/>
        <v>0</v>
      </c>
      <c r="S23" s="33">
        <f t="shared" ca="1" si="40"/>
        <v>1</v>
      </c>
      <c r="T23" s="33">
        <f t="shared" ca="1" si="40"/>
        <v>1</v>
      </c>
      <c r="U23" s="34">
        <f t="shared" ca="1" si="2"/>
        <v>4</v>
      </c>
      <c r="V23" s="47"/>
      <c r="W23" s="3" t="s">
        <v>151</v>
      </c>
      <c r="X23" s="47">
        <v>1</v>
      </c>
      <c r="Y23" s="47"/>
    </row>
    <row r="24" spans="1:25" ht="15.75" customHeight="1">
      <c r="A24" s="3">
        <v>21</v>
      </c>
      <c r="B24" s="3" t="s">
        <v>154</v>
      </c>
      <c r="C24" s="22" t="s">
        <v>152</v>
      </c>
      <c r="D24" s="22"/>
      <c r="E24" s="28">
        <v>45843</v>
      </c>
      <c r="F24" s="28">
        <v>45843</v>
      </c>
      <c r="G24" s="28"/>
      <c r="H24" s="28">
        <v>45843</v>
      </c>
      <c r="I24" s="28">
        <v>45843</v>
      </c>
      <c r="J24" s="32">
        <f t="shared" ref="J24:N24" ca="1" si="41">IF(OR($W$1="",E24=""),"",E24-$W$1)</f>
        <v>-454</v>
      </c>
      <c r="K24" s="32">
        <f t="shared" ca="1" si="41"/>
        <v>-454</v>
      </c>
      <c r="L24" s="32" t="str">
        <f t="shared" ca="1" si="41"/>
        <v/>
      </c>
      <c r="M24" s="32">
        <f t="shared" ca="1" si="41"/>
        <v>-454</v>
      </c>
      <c r="N24" s="32">
        <f t="shared" ca="1" si="41"/>
        <v>-454</v>
      </c>
      <c r="O24" s="195"/>
      <c r="P24" s="33">
        <f t="shared" ref="P24:T24" ca="1" si="42">COUNTIF(J24, "&lt;30")</f>
        <v>1</v>
      </c>
      <c r="Q24" s="33">
        <f t="shared" ca="1" si="42"/>
        <v>1</v>
      </c>
      <c r="R24" s="33">
        <f t="shared" ca="1" si="42"/>
        <v>0</v>
      </c>
      <c r="S24" s="33">
        <f t="shared" ca="1" si="42"/>
        <v>1</v>
      </c>
      <c r="T24" s="33">
        <f t="shared" ca="1" si="42"/>
        <v>1</v>
      </c>
      <c r="U24" s="34">
        <f t="shared" ca="1" si="2"/>
        <v>4</v>
      </c>
      <c r="W24" s="3" t="s">
        <v>154</v>
      </c>
      <c r="X24" s="71">
        <v>4</v>
      </c>
    </row>
    <row r="25" spans="1:25" ht="15.75" customHeight="1">
      <c r="A25" s="3">
        <v>22</v>
      </c>
      <c r="B25" s="85" t="s">
        <v>156</v>
      </c>
      <c r="C25" s="88" t="s">
        <v>152</v>
      </c>
      <c r="D25" s="89"/>
      <c r="E25" s="28">
        <v>45927</v>
      </c>
      <c r="F25" s="28">
        <v>45927</v>
      </c>
      <c r="G25" s="28"/>
      <c r="H25" s="28">
        <v>45927</v>
      </c>
      <c r="I25" s="28">
        <v>45927</v>
      </c>
      <c r="J25" s="32">
        <f t="shared" ref="J25:N25" ca="1" si="43">IF(OR($W$1="",E25=""),"",E25-$W$1)</f>
        <v>-370</v>
      </c>
      <c r="K25" s="32">
        <f t="shared" ca="1" si="43"/>
        <v>-370</v>
      </c>
      <c r="L25" s="32" t="str">
        <f t="shared" ca="1" si="43"/>
        <v/>
      </c>
      <c r="M25" s="32">
        <f t="shared" ca="1" si="43"/>
        <v>-370</v>
      </c>
      <c r="N25" s="32">
        <f t="shared" ca="1" si="43"/>
        <v>-370</v>
      </c>
      <c r="O25" s="195"/>
      <c r="P25" s="33">
        <f t="shared" ref="P25:T25" ca="1" si="44">COUNTIF(J25, "&lt;30")</f>
        <v>1</v>
      </c>
      <c r="Q25" s="33">
        <f t="shared" ca="1" si="44"/>
        <v>1</v>
      </c>
      <c r="R25" s="33">
        <f t="shared" ca="1" si="44"/>
        <v>0</v>
      </c>
      <c r="S25" s="33">
        <f t="shared" ca="1" si="44"/>
        <v>1</v>
      </c>
      <c r="T25" s="33">
        <f t="shared" ca="1" si="44"/>
        <v>1</v>
      </c>
      <c r="U25" s="34">
        <f t="shared" ca="1" si="2"/>
        <v>4</v>
      </c>
      <c r="W25" s="85" t="s">
        <v>156</v>
      </c>
      <c r="X25" s="71">
        <v>0</v>
      </c>
    </row>
    <row r="26" spans="1:25" ht="15.75" customHeight="1">
      <c r="A26" s="3">
        <v>23</v>
      </c>
      <c r="B26" s="3" t="s">
        <v>158</v>
      </c>
      <c r="C26" s="22" t="s">
        <v>152</v>
      </c>
      <c r="D26" s="22"/>
      <c r="E26" s="28">
        <v>45885</v>
      </c>
      <c r="F26" s="28">
        <v>45885</v>
      </c>
      <c r="G26" s="28"/>
      <c r="H26" s="28">
        <v>45885</v>
      </c>
      <c r="I26" s="28">
        <v>45885</v>
      </c>
      <c r="J26" s="32">
        <f t="shared" ref="J26:N26" ca="1" si="45">IF(OR($W$1="",E26=""),"",E26-$W$1)</f>
        <v>-412</v>
      </c>
      <c r="K26" s="32">
        <f t="shared" ca="1" si="45"/>
        <v>-412</v>
      </c>
      <c r="L26" s="32" t="str">
        <f t="shared" ca="1" si="45"/>
        <v/>
      </c>
      <c r="M26" s="32">
        <f t="shared" ca="1" si="45"/>
        <v>-412</v>
      </c>
      <c r="N26" s="32">
        <f t="shared" ca="1" si="45"/>
        <v>-412</v>
      </c>
      <c r="O26" s="195"/>
      <c r="P26" s="33">
        <f t="shared" ref="P26:T26" ca="1" si="46">COUNTIF(J26, "&lt;30")</f>
        <v>1</v>
      </c>
      <c r="Q26" s="33">
        <f t="shared" ca="1" si="46"/>
        <v>1</v>
      </c>
      <c r="R26" s="33">
        <f t="shared" ca="1" si="46"/>
        <v>0</v>
      </c>
      <c r="S26" s="33">
        <f t="shared" ca="1" si="46"/>
        <v>1</v>
      </c>
      <c r="T26" s="33">
        <f t="shared" ca="1" si="46"/>
        <v>1</v>
      </c>
      <c r="U26" s="34">
        <f t="shared" ca="1" si="2"/>
        <v>4</v>
      </c>
      <c r="W26" s="3" t="s">
        <v>158</v>
      </c>
      <c r="X26" s="71">
        <v>0</v>
      </c>
    </row>
    <row r="27" spans="1:25" ht="15.75" customHeight="1">
      <c r="A27" s="3">
        <v>24</v>
      </c>
      <c r="B27" s="3" t="s">
        <v>160</v>
      </c>
      <c r="C27" s="22" t="s">
        <v>152</v>
      </c>
      <c r="D27" s="22"/>
      <c r="E27" s="28">
        <v>45896</v>
      </c>
      <c r="F27" s="28">
        <v>45896</v>
      </c>
      <c r="G27" s="28"/>
      <c r="H27" s="28">
        <v>45896</v>
      </c>
      <c r="I27" s="28">
        <v>45896</v>
      </c>
      <c r="J27" s="32">
        <f t="shared" ref="J27:N27" ca="1" si="47">IF(OR($W$1="",E27=""),"",E27-$W$1)</f>
        <v>-401</v>
      </c>
      <c r="K27" s="32">
        <f t="shared" ca="1" si="47"/>
        <v>-401</v>
      </c>
      <c r="L27" s="32" t="str">
        <f t="shared" ca="1" si="47"/>
        <v/>
      </c>
      <c r="M27" s="32">
        <f t="shared" ca="1" si="47"/>
        <v>-401</v>
      </c>
      <c r="N27" s="32">
        <f t="shared" ca="1" si="47"/>
        <v>-401</v>
      </c>
      <c r="O27" s="195"/>
      <c r="P27" s="33">
        <f t="shared" ref="P27:T27" ca="1" si="48">COUNTIF(J27, "&lt;30")</f>
        <v>1</v>
      </c>
      <c r="Q27" s="33">
        <f t="shared" ca="1" si="48"/>
        <v>1</v>
      </c>
      <c r="R27" s="33">
        <f t="shared" ca="1" si="48"/>
        <v>0</v>
      </c>
      <c r="S27" s="33">
        <f t="shared" ca="1" si="48"/>
        <v>1</v>
      </c>
      <c r="T27" s="33">
        <f t="shared" ca="1" si="48"/>
        <v>1</v>
      </c>
      <c r="U27" s="34">
        <f t="shared" ca="1" si="2"/>
        <v>4</v>
      </c>
      <c r="W27" s="3" t="s">
        <v>160</v>
      </c>
      <c r="X27" s="71">
        <v>0</v>
      </c>
    </row>
    <row r="28" spans="1:25" ht="15.75" customHeight="1">
      <c r="A28" s="3">
        <v>25</v>
      </c>
      <c r="B28" s="3" t="s">
        <v>162</v>
      </c>
      <c r="C28" s="22" t="s">
        <v>152</v>
      </c>
      <c r="D28" s="22"/>
      <c r="E28" s="28">
        <v>45917</v>
      </c>
      <c r="F28" s="28">
        <v>45917</v>
      </c>
      <c r="G28" s="28"/>
      <c r="H28" s="28">
        <v>45852</v>
      </c>
      <c r="I28" s="28">
        <v>45927</v>
      </c>
      <c r="J28" s="32">
        <f t="shared" ref="J28:N28" ca="1" si="49">IF(OR($W$1="",E28=""),"",E28-$W$1)</f>
        <v>-380</v>
      </c>
      <c r="K28" s="32">
        <f t="shared" ca="1" si="49"/>
        <v>-380</v>
      </c>
      <c r="L28" s="32" t="str">
        <f t="shared" ca="1" si="49"/>
        <v/>
      </c>
      <c r="M28" s="32">
        <f t="shared" ca="1" si="49"/>
        <v>-445</v>
      </c>
      <c r="N28" s="32">
        <f t="shared" ca="1" si="49"/>
        <v>-370</v>
      </c>
      <c r="O28" s="195"/>
      <c r="P28" s="33">
        <f t="shared" ref="P28:T28" ca="1" si="50">COUNTIF(J28, "&lt;30")</f>
        <v>1</v>
      </c>
      <c r="Q28" s="33">
        <f t="shared" ca="1" si="50"/>
        <v>1</v>
      </c>
      <c r="R28" s="33">
        <f t="shared" ca="1" si="50"/>
        <v>0</v>
      </c>
      <c r="S28" s="33">
        <f t="shared" ca="1" si="50"/>
        <v>1</v>
      </c>
      <c r="T28" s="33">
        <f t="shared" ca="1" si="50"/>
        <v>1</v>
      </c>
      <c r="U28" s="34">
        <f t="shared" ca="1" si="2"/>
        <v>4</v>
      </c>
      <c r="W28" s="3" t="s">
        <v>162</v>
      </c>
      <c r="X28" s="71">
        <v>1</v>
      </c>
    </row>
    <row r="29" spans="1:25" ht="15.75" customHeight="1">
      <c r="A29" s="3">
        <v>26</v>
      </c>
      <c r="B29" s="93" t="s">
        <v>163</v>
      </c>
      <c r="C29" s="94" t="s">
        <v>152</v>
      </c>
      <c r="D29" s="89"/>
      <c r="E29" s="28">
        <v>45978</v>
      </c>
      <c r="F29" s="28">
        <v>45978</v>
      </c>
      <c r="G29" s="28"/>
      <c r="H29" s="28">
        <v>45890</v>
      </c>
      <c r="I29" s="28">
        <v>45890</v>
      </c>
      <c r="J29" s="32">
        <f t="shared" ref="J29:N29" ca="1" si="51">IF(OR($W$1="",E29=""),"",E29-$W$1)</f>
        <v>-319</v>
      </c>
      <c r="K29" s="32">
        <f t="shared" ca="1" si="51"/>
        <v>-319</v>
      </c>
      <c r="L29" s="32" t="str">
        <f t="shared" ca="1" si="51"/>
        <v/>
      </c>
      <c r="M29" s="32">
        <f t="shared" ca="1" si="51"/>
        <v>-407</v>
      </c>
      <c r="N29" s="32">
        <f t="shared" ca="1" si="51"/>
        <v>-407</v>
      </c>
      <c r="O29" s="195"/>
      <c r="P29" s="33">
        <f t="shared" ref="P29:T29" ca="1" si="52">COUNTIF(J29, "&lt;30")</f>
        <v>1</v>
      </c>
      <c r="Q29" s="33">
        <f t="shared" ca="1" si="52"/>
        <v>1</v>
      </c>
      <c r="R29" s="33">
        <f t="shared" ca="1" si="52"/>
        <v>0</v>
      </c>
      <c r="S29" s="33">
        <f t="shared" ca="1" si="52"/>
        <v>1</v>
      </c>
      <c r="T29" s="33">
        <f t="shared" ca="1" si="52"/>
        <v>1</v>
      </c>
      <c r="U29" s="34">
        <f t="shared" ca="1" si="2"/>
        <v>4</v>
      </c>
      <c r="W29" s="93" t="s">
        <v>163</v>
      </c>
      <c r="X29" s="71">
        <v>0</v>
      </c>
    </row>
    <row r="30" spans="1:25" ht="15.75" customHeight="1">
      <c r="A30" s="3">
        <v>27</v>
      </c>
      <c r="B30" s="93" t="s">
        <v>165</v>
      </c>
      <c r="C30" s="94" t="s">
        <v>152</v>
      </c>
      <c r="D30" s="89"/>
      <c r="E30" s="28">
        <v>45960</v>
      </c>
      <c r="F30" s="28">
        <v>45960</v>
      </c>
      <c r="G30" s="28"/>
      <c r="H30" s="28">
        <v>45927</v>
      </c>
      <c r="I30" s="28">
        <v>45927</v>
      </c>
      <c r="J30" s="32">
        <f t="shared" ref="J30:N30" ca="1" si="53">IF(OR($W$1="",E30=""),"",E30-$W$1)</f>
        <v>-337</v>
      </c>
      <c r="K30" s="32">
        <f t="shared" ca="1" si="53"/>
        <v>-337</v>
      </c>
      <c r="L30" s="32" t="str">
        <f t="shared" ca="1" si="53"/>
        <v/>
      </c>
      <c r="M30" s="32">
        <f t="shared" ca="1" si="53"/>
        <v>-370</v>
      </c>
      <c r="N30" s="32">
        <f t="shared" ca="1" si="53"/>
        <v>-370</v>
      </c>
      <c r="O30" s="195"/>
      <c r="P30" s="33">
        <f t="shared" ref="P30:T30" ca="1" si="54">COUNTIF(J30, "&lt;30")</f>
        <v>1</v>
      </c>
      <c r="Q30" s="33">
        <f t="shared" ca="1" si="54"/>
        <v>1</v>
      </c>
      <c r="R30" s="33">
        <f t="shared" ca="1" si="54"/>
        <v>0</v>
      </c>
      <c r="S30" s="33">
        <f t="shared" ca="1" si="54"/>
        <v>1</v>
      </c>
      <c r="T30" s="33">
        <f t="shared" ca="1" si="54"/>
        <v>1</v>
      </c>
      <c r="U30" s="34">
        <f t="shared" ca="1" si="2"/>
        <v>4</v>
      </c>
      <c r="W30" s="93" t="s">
        <v>165</v>
      </c>
      <c r="X30" s="71">
        <v>0</v>
      </c>
    </row>
    <row r="31" spans="1:25" ht="17.399999999999999">
      <c r="A31" s="3">
        <v>28</v>
      </c>
      <c r="B31" s="3" t="s">
        <v>167</v>
      </c>
      <c r="C31" s="22" t="s">
        <v>152</v>
      </c>
      <c r="D31" s="22"/>
      <c r="E31" s="28">
        <v>45978</v>
      </c>
      <c r="F31" s="28">
        <v>45978</v>
      </c>
      <c r="G31" s="28"/>
      <c r="H31" s="28">
        <v>45927</v>
      </c>
      <c r="I31" s="28">
        <v>45927</v>
      </c>
      <c r="J31" s="32">
        <f t="shared" ref="J31:N31" ca="1" si="55">IF(OR($W$1="",E31=""),"",E31-$W$1)</f>
        <v>-319</v>
      </c>
      <c r="K31" s="32">
        <f t="shared" ca="1" si="55"/>
        <v>-319</v>
      </c>
      <c r="L31" s="32" t="str">
        <f t="shared" ca="1" si="55"/>
        <v/>
      </c>
      <c r="M31" s="32">
        <f t="shared" ca="1" si="55"/>
        <v>-370</v>
      </c>
      <c r="N31" s="32">
        <f t="shared" ca="1" si="55"/>
        <v>-370</v>
      </c>
      <c r="O31" s="195"/>
      <c r="P31" s="33">
        <f t="shared" ref="P31:T31" ca="1" si="56">COUNTIF(J31, "&lt;30")</f>
        <v>1</v>
      </c>
      <c r="Q31" s="33">
        <f t="shared" ca="1" si="56"/>
        <v>1</v>
      </c>
      <c r="R31" s="33">
        <f t="shared" ca="1" si="56"/>
        <v>0</v>
      </c>
      <c r="S31" s="33">
        <f t="shared" ca="1" si="56"/>
        <v>1</v>
      </c>
      <c r="T31" s="33">
        <f t="shared" ca="1" si="56"/>
        <v>1</v>
      </c>
      <c r="U31" s="34">
        <f t="shared" ca="1" si="2"/>
        <v>4</v>
      </c>
      <c r="W31" s="3" t="s">
        <v>167</v>
      </c>
      <c r="X31" s="71">
        <v>0</v>
      </c>
    </row>
    <row r="32" spans="1:25" ht="17.399999999999999">
      <c r="A32" s="3">
        <v>29</v>
      </c>
      <c r="B32" s="3" t="s">
        <v>80</v>
      </c>
      <c r="C32" s="22" t="s">
        <v>152</v>
      </c>
      <c r="D32" s="22"/>
      <c r="E32" s="28">
        <v>45862</v>
      </c>
      <c r="F32" s="28">
        <v>45862</v>
      </c>
      <c r="G32" s="28"/>
      <c r="H32" s="28">
        <v>45862</v>
      </c>
      <c r="I32" s="28">
        <v>45862</v>
      </c>
      <c r="J32" s="32">
        <f t="shared" ref="J32:N32" ca="1" si="57">IF(OR($W$1="",E32=""),"",E32-$W$1)</f>
        <v>-435</v>
      </c>
      <c r="K32" s="32">
        <f t="shared" ca="1" si="57"/>
        <v>-435</v>
      </c>
      <c r="L32" s="32" t="str">
        <f t="shared" ca="1" si="57"/>
        <v/>
      </c>
      <c r="M32" s="32">
        <f t="shared" ca="1" si="57"/>
        <v>-435</v>
      </c>
      <c r="N32" s="32">
        <f t="shared" ca="1" si="57"/>
        <v>-435</v>
      </c>
      <c r="O32" s="195"/>
      <c r="P32" s="33">
        <f t="shared" ref="P32:T32" ca="1" si="58">COUNTIF(J32, "&lt;30")</f>
        <v>1</v>
      </c>
      <c r="Q32" s="33">
        <f t="shared" ca="1" si="58"/>
        <v>1</v>
      </c>
      <c r="R32" s="33">
        <f t="shared" ca="1" si="58"/>
        <v>0</v>
      </c>
      <c r="S32" s="33">
        <f t="shared" ca="1" si="58"/>
        <v>1</v>
      </c>
      <c r="T32" s="33">
        <f t="shared" ca="1" si="58"/>
        <v>1</v>
      </c>
      <c r="U32" s="34">
        <f t="shared" ca="1" si="2"/>
        <v>4</v>
      </c>
      <c r="W32" s="3" t="s">
        <v>80</v>
      </c>
      <c r="X32" s="71">
        <v>4</v>
      </c>
    </row>
    <row r="33" spans="1:24" ht="17.399999999999999">
      <c r="A33" s="3">
        <v>30</v>
      </c>
      <c r="B33" s="3" t="s">
        <v>84</v>
      </c>
      <c r="C33" s="22" t="s">
        <v>152</v>
      </c>
      <c r="D33" s="22"/>
      <c r="E33" s="28"/>
      <c r="F33" s="28"/>
      <c r="G33" s="28"/>
      <c r="H33" s="28">
        <v>45978</v>
      </c>
      <c r="I33" s="28">
        <v>45978</v>
      </c>
      <c r="J33" s="32" t="str">
        <f t="shared" ref="J33:N33" ca="1" si="59">IF(OR($W$1="",E33=""),"",E33-$W$1)</f>
        <v/>
      </c>
      <c r="K33" s="32" t="str">
        <f t="shared" ca="1" si="59"/>
        <v/>
      </c>
      <c r="L33" s="32" t="str">
        <f t="shared" ca="1" si="59"/>
        <v/>
      </c>
      <c r="M33" s="32">
        <f t="shared" ca="1" si="59"/>
        <v>-319</v>
      </c>
      <c r="N33" s="32">
        <f t="shared" ca="1" si="59"/>
        <v>-319</v>
      </c>
      <c r="O33" s="195"/>
      <c r="P33" s="33">
        <f t="shared" ref="P33:T33" ca="1" si="60">COUNTIF(J33, "&lt;30")</f>
        <v>0</v>
      </c>
      <c r="Q33" s="33">
        <f t="shared" ca="1" si="60"/>
        <v>0</v>
      </c>
      <c r="R33" s="33">
        <f t="shared" ca="1" si="60"/>
        <v>0</v>
      </c>
      <c r="S33" s="33">
        <f t="shared" ca="1" si="60"/>
        <v>1</v>
      </c>
      <c r="T33" s="33">
        <f t="shared" ca="1" si="60"/>
        <v>1</v>
      </c>
      <c r="U33" s="34">
        <f t="shared" ca="1" si="2"/>
        <v>2</v>
      </c>
      <c r="W33" s="3" t="s">
        <v>84</v>
      </c>
      <c r="X33" s="71">
        <v>0</v>
      </c>
    </row>
    <row r="34" spans="1:24" ht="17.399999999999999">
      <c r="A34" s="3">
        <v>31</v>
      </c>
      <c r="B34" s="52" t="s">
        <v>87</v>
      </c>
      <c r="C34" s="22" t="s">
        <v>152</v>
      </c>
      <c r="D34" s="22"/>
      <c r="E34" s="28">
        <v>45890</v>
      </c>
      <c r="F34" s="28">
        <v>45890</v>
      </c>
      <c r="G34" s="28"/>
      <c r="H34" s="28">
        <v>45890</v>
      </c>
      <c r="I34" s="28">
        <v>45890</v>
      </c>
      <c r="J34" s="32">
        <f t="shared" ref="J34:N34" ca="1" si="61">IF(OR($W$1="",E34=""),"",E34-$W$1)</f>
        <v>-407</v>
      </c>
      <c r="K34" s="32">
        <f t="shared" ca="1" si="61"/>
        <v>-407</v>
      </c>
      <c r="L34" s="32" t="str">
        <f t="shared" ca="1" si="61"/>
        <v/>
      </c>
      <c r="M34" s="32">
        <f t="shared" ca="1" si="61"/>
        <v>-407</v>
      </c>
      <c r="N34" s="32">
        <f t="shared" ca="1" si="61"/>
        <v>-407</v>
      </c>
      <c r="O34" s="195"/>
      <c r="P34" s="33">
        <f t="shared" ref="P34:T34" ca="1" si="62">COUNTIF(J34, "&lt;30")</f>
        <v>1</v>
      </c>
      <c r="Q34" s="33">
        <f t="shared" ca="1" si="62"/>
        <v>1</v>
      </c>
      <c r="R34" s="33">
        <f t="shared" ca="1" si="62"/>
        <v>0</v>
      </c>
      <c r="S34" s="33">
        <f t="shared" ca="1" si="62"/>
        <v>1</v>
      </c>
      <c r="T34" s="33">
        <f t="shared" ca="1" si="62"/>
        <v>1</v>
      </c>
      <c r="U34" s="34">
        <f t="shared" ca="1" si="2"/>
        <v>4</v>
      </c>
      <c r="W34" s="52" t="s">
        <v>87</v>
      </c>
      <c r="X34" s="71">
        <v>0</v>
      </c>
    </row>
    <row r="35" spans="1:24" ht="17.399999999999999">
      <c r="A35" s="3">
        <v>32</v>
      </c>
      <c r="B35" s="3" t="s">
        <v>88</v>
      </c>
      <c r="C35" s="22" t="s">
        <v>152</v>
      </c>
      <c r="D35" s="22"/>
      <c r="E35" s="28">
        <v>45839</v>
      </c>
      <c r="F35" s="28">
        <v>45839</v>
      </c>
      <c r="G35" s="28"/>
      <c r="H35" s="28">
        <v>45975</v>
      </c>
      <c r="I35" s="28">
        <v>45975</v>
      </c>
      <c r="J35" s="32">
        <f t="shared" ref="J35:N35" ca="1" si="63">IF(OR($W$1="",E35=""),"",E35-$W$1)</f>
        <v>-458</v>
      </c>
      <c r="K35" s="32">
        <f t="shared" ca="1" si="63"/>
        <v>-458</v>
      </c>
      <c r="L35" s="32" t="str">
        <f t="shared" ca="1" si="63"/>
        <v/>
      </c>
      <c r="M35" s="32">
        <f t="shared" ca="1" si="63"/>
        <v>-322</v>
      </c>
      <c r="N35" s="32">
        <f t="shared" ca="1" si="63"/>
        <v>-322</v>
      </c>
      <c r="O35" s="195"/>
      <c r="P35" s="33">
        <f t="shared" ref="P35:T35" ca="1" si="64">COUNTIF(J35, "&lt;30")</f>
        <v>1</v>
      </c>
      <c r="Q35" s="33">
        <f t="shared" ca="1" si="64"/>
        <v>1</v>
      </c>
      <c r="R35" s="33">
        <f t="shared" ca="1" si="64"/>
        <v>0</v>
      </c>
      <c r="S35" s="33">
        <f t="shared" ca="1" si="64"/>
        <v>1</v>
      </c>
      <c r="T35" s="33">
        <f t="shared" ca="1" si="64"/>
        <v>1</v>
      </c>
      <c r="U35" s="34">
        <f t="shared" ca="1" si="2"/>
        <v>4</v>
      </c>
      <c r="W35" s="3" t="s">
        <v>88</v>
      </c>
      <c r="X35" s="71">
        <v>2</v>
      </c>
    </row>
    <row r="36" spans="1:24" ht="17.399999999999999">
      <c r="A36" s="3">
        <v>33</v>
      </c>
      <c r="B36" s="36" t="s">
        <v>89</v>
      </c>
      <c r="C36" s="22" t="s">
        <v>152</v>
      </c>
      <c r="D36" s="22"/>
      <c r="E36" s="28">
        <v>45822</v>
      </c>
      <c r="F36" s="28">
        <v>45822</v>
      </c>
      <c r="G36" s="28">
        <v>45822</v>
      </c>
      <c r="H36" s="28">
        <v>45822</v>
      </c>
      <c r="I36" s="28"/>
      <c r="J36" s="32">
        <f t="shared" ref="J36:N36" ca="1" si="65">IF(OR($W$1="",E36=""),"",E36-$W$1)</f>
        <v>-475</v>
      </c>
      <c r="K36" s="32">
        <f t="shared" ca="1" si="65"/>
        <v>-475</v>
      </c>
      <c r="L36" s="32">
        <f t="shared" ca="1" si="65"/>
        <v>-475</v>
      </c>
      <c r="M36" s="32">
        <f t="shared" ca="1" si="65"/>
        <v>-475</v>
      </c>
      <c r="N36" s="32" t="str">
        <f t="shared" ca="1" si="65"/>
        <v/>
      </c>
      <c r="O36" s="195"/>
      <c r="P36" s="33">
        <f t="shared" ref="P36:T36" ca="1" si="66">COUNTIF(J36, "&lt;30")</f>
        <v>1</v>
      </c>
      <c r="Q36" s="33">
        <f t="shared" ca="1" si="66"/>
        <v>1</v>
      </c>
      <c r="R36" s="33">
        <f t="shared" ca="1" si="66"/>
        <v>1</v>
      </c>
      <c r="S36" s="33">
        <f t="shared" ca="1" si="66"/>
        <v>1</v>
      </c>
      <c r="T36" s="33">
        <f t="shared" ca="1" si="66"/>
        <v>0</v>
      </c>
      <c r="U36" s="34">
        <f t="shared" ca="1" si="2"/>
        <v>4</v>
      </c>
      <c r="W36" s="36" t="s">
        <v>89</v>
      </c>
      <c r="X36" s="71">
        <v>4</v>
      </c>
    </row>
    <row r="37" spans="1:24" ht="17.399999999999999">
      <c r="A37" s="3">
        <v>34</v>
      </c>
      <c r="B37" s="36" t="s">
        <v>91</v>
      </c>
      <c r="C37" s="22" t="s">
        <v>152</v>
      </c>
      <c r="D37" s="22"/>
      <c r="E37" s="28"/>
      <c r="F37" s="28"/>
      <c r="G37" s="28"/>
      <c r="H37" s="28"/>
      <c r="I37" s="28"/>
      <c r="J37" s="32" t="str">
        <f t="shared" ref="J37:N37" ca="1" si="67">IF(OR($W$1="",E37=""),"",E37-$W$1)</f>
        <v/>
      </c>
      <c r="K37" s="32" t="str">
        <f t="shared" ca="1" si="67"/>
        <v/>
      </c>
      <c r="L37" s="32" t="str">
        <f t="shared" ca="1" si="67"/>
        <v/>
      </c>
      <c r="M37" s="32" t="str">
        <f t="shared" ca="1" si="67"/>
        <v/>
      </c>
      <c r="N37" s="32" t="str">
        <f t="shared" ca="1" si="67"/>
        <v/>
      </c>
      <c r="O37" s="195"/>
      <c r="P37" s="33">
        <f t="shared" ref="P37:T37" ca="1" si="68">COUNTIF(J37, "&lt;30")</f>
        <v>0</v>
      </c>
      <c r="Q37" s="33">
        <f t="shared" ca="1" si="68"/>
        <v>0</v>
      </c>
      <c r="R37" s="33">
        <f t="shared" ca="1" si="68"/>
        <v>0</v>
      </c>
      <c r="S37" s="33">
        <f t="shared" ca="1" si="68"/>
        <v>0</v>
      </c>
      <c r="T37" s="33">
        <f t="shared" ca="1" si="68"/>
        <v>0</v>
      </c>
      <c r="U37" s="34">
        <f t="shared" ca="1" si="2"/>
        <v>0</v>
      </c>
      <c r="W37" s="36" t="s">
        <v>91</v>
      </c>
      <c r="X37" s="71">
        <v>0</v>
      </c>
    </row>
    <row r="38" spans="1:24" ht="17.399999999999999">
      <c r="A38" s="3">
        <v>35</v>
      </c>
      <c r="B38" s="36" t="s">
        <v>93</v>
      </c>
      <c r="C38" s="22" t="s">
        <v>152</v>
      </c>
      <c r="D38" s="22"/>
      <c r="E38" s="28"/>
      <c r="F38" s="28"/>
      <c r="G38" s="28"/>
      <c r="H38" s="28">
        <v>45890</v>
      </c>
      <c r="I38" s="28">
        <v>45890</v>
      </c>
      <c r="J38" s="32" t="str">
        <f t="shared" ref="J38:N38" ca="1" si="69">IF(OR($W$1="",E38=""),"",E38-$W$1)</f>
        <v/>
      </c>
      <c r="K38" s="32" t="str">
        <f t="shared" ca="1" si="69"/>
        <v/>
      </c>
      <c r="L38" s="32" t="str">
        <f t="shared" ca="1" si="69"/>
        <v/>
      </c>
      <c r="M38" s="32">
        <f t="shared" ca="1" si="69"/>
        <v>-407</v>
      </c>
      <c r="N38" s="32">
        <f t="shared" ca="1" si="69"/>
        <v>-407</v>
      </c>
      <c r="O38" s="195"/>
      <c r="P38" s="33">
        <f t="shared" ref="P38:T38" ca="1" si="70">COUNTIF(J38, "&lt;30")</f>
        <v>0</v>
      </c>
      <c r="Q38" s="33">
        <f t="shared" ca="1" si="70"/>
        <v>0</v>
      </c>
      <c r="R38" s="33">
        <f t="shared" ca="1" si="70"/>
        <v>0</v>
      </c>
      <c r="S38" s="33">
        <f t="shared" ca="1" si="70"/>
        <v>1</v>
      </c>
      <c r="T38" s="33">
        <f t="shared" ca="1" si="70"/>
        <v>1</v>
      </c>
      <c r="U38" s="34">
        <f t="shared" ca="1" si="2"/>
        <v>2</v>
      </c>
      <c r="W38" s="36" t="s">
        <v>93</v>
      </c>
      <c r="X38" s="71">
        <v>0</v>
      </c>
    </row>
    <row r="39" spans="1:24" ht="17.399999999999999">
      <c r="A39" s="3">
        <v>36</v>
      </c>
      <c r="B39" s="3" t="s">
        <v>90</v>
      </c>
      <c r="C39" s="22" t="s">
        <v>81</v>
      </c>
      <c r="D39" s="22"/>
      <c r="E39" s="28">
        <v>45978</v>
      </c>
      <c r="F39" s="28">
        <v>45978</v>
      </c>
      <c r="G39" s="28"/>
      <c r="H39" s="28">
        <v>45978</v>
      </c>
      <c r="I39" s="28">
        <v>45978</v>
      </c>
      <c r="J39" s="32">
        <f t="shared" ref="J39:N39" ca="1" si="71">IF(OR($W$1="",E39=""),"",E39-$W$1)</f>
        <v>-319</v>
      </c>
      <c r="K39" s="32">
        <f t="shared" ca="1" si="71"/>
        <v>-319</v>
      </c>
      <c r="L39" s="32" t="str">
        <f t="shared" ca="1" si="71"/>
        <v/>
      </c>
      <c r="M39" s="32">
        <f t="shared" ca="1" si="71"/>
        <v>-319</v>
      </c>
      <c r="N39" s="32">
        <f t="shared" ca="1" si="71"/>
        <v>-319</v>
      </c>
      <c r="O39" s="195"/>
      <c r="P39" s="33">
        <f t="shared" ref="P39:T39" ca="1" si="72">COUNTIF(J39, "&lt;30")</f>
        <v>1</v>
      </c>
      <c r="Q39" s="33">
        <f t="shared" ca="1" si="72"/>
        <v>1</v>
      </c>
      <c r="R39" s="33">
        <f t="shared" ca="1" si="72"/>
        <v>0</v>
      </c>
      <c r="S39" s="33">
        <f t="shared" ca="1" si="72"/>
        <v>1</v>
      </c>
      <c r="T39" s="33">
        <f t="shared" ca="1" si="72"/>
        <v>1</v>
      </c>
      <c r="U39" s="34">
        <f t="shared" ca="1" si="2"/>
        <v>4</v>
      </c>
      <c r="W39" s="3" t="s">
        <v>90</v>
      </c>
      <c r="X39" s="71">
        <v>0</v>
      </c>
    </row>
    <row r="40" spans="1:24" ht="17.399999999999999">
      <c r="A40" s="3">
        <v>37</v>
      </c>
      <c r="B40" s="3" t="s">
        <v>150</v>
      </c>
      <c r="C40" s="22" t="s">
        <v>147</v>
      </c>
      <c r="D40" s="22"/>
      <c r="E40" s="28">
        <v>45927</v>
      </c>
      <c r="F40" s="28">
        <v>45917</v>
      </c>
      <c r="G40" s="28"/>
      <c r="H40" s="28">
        <v>45917</v>
      </c>
      <c r="I40" s="28">
        <v>45917</v>
      </c>
      <c r="J40" s="32">
        <f t="shared" ref="J40:N40" ca="1" si="73">IF(OR($W$1="",E40=""),"",E40-$W$1)</f>
        <v>-370</v>
      </c>
      <c r="K40" s="32">
        <f t="shared" ca="1" si="73"/>
        <v>-380</v>
      </c>
      <c r="L40" s="32" t="str">
        <f t="shared" ca="1" si="73"/>
        <v/>
      </c>
      <c r="M40" s="32">
        <f t="shared" ca="1" si="73"/>
        <v>-380</v>
      </c>
      <c r="N40" s="32">
        <f t="shared" ca="1" si="73"/>
        <v>-380</v>
      </c>
      <c r="O40" s="195"/>
      <c r="P40" s="33">
        <f t="shared" ref="P40:T40" ca="1" si="74">COUNTIF(J40, "&lt;30")</f>
        <v>1</v>
      </c>
      <c r="Q40" s="33">
        <f t="shared" ca="1" si="74"/>
        <v>1</v>
      </c>
      <c r="R40" s="33">
        <f t="shared" ca="1" si="74"/>
        <v>0</v>
      </c>
      <c r="S40" s="33">
        <f t="shared" ca="1" si="74"/>
        <v>1</v>
      </c>
      <c r="T40" s="33">
        <f t="shared" ca="1" si="74"/>
        <v>1</v>
      </c>
      <c r="U40" s="34">
        <f t="shared" ca="1" si="2"/>
        <v>4</v>
      </c>
      <c r="W40" s="3" t="s">
        <v>150</v>
      </c>
      <c r="X40" s="71">
        <v>0</v>
      </c>
    </row>
    <row r="41" spans="1:24" ht="17.399999999999999">
      <c r="A41" s="3">
        <v>38</v>
      </c>
      <c r="B41" s="3" t="s">
        <v>149</v>
      </c>
      <c r="C41" s="22" t="s">
        <v>147</v>
      </c>
      <c r="D41" s="22"/>
      <c r="E41" s="28">
        <v>45978</v>
      </c>
      <c r="F41" s="28">
        <v>45978</v>
      </c>
      <c r="G41" s="28">
        <v>45927</v>
      </c>
      <c r="H41" s="28">
        <v>45927</v>
      </c>
      <c r="I41" s="28"/>
      <c r="J41" s="32">
        <f t="shared" ref="J41:N41" ca="1" si="75">IF(OR($W$1="",E41=""),"",E41-$W$1)</f>
        <v>-319</v>
      </c>
      <c r="K41" s="32">
        <f t="shared" ca="1" si="75"/>
        <v>-319</v>
      </c>
      <c r="L41" s="32">
        <f t="shared" ca="1" si="75"/>
        <v>-370</v>
      </c>
      <c r="M41" s="32">
        <f t="shared" ca="1" si="75"/>
        <v>-370</v>
      </c>
      <c r="N41" s="32" t="str">
        <f t="shared" ca="1" si="75"/>
        <v/>
      </c>
      <c r="O41" s="195"/>
      <c r="P41" s="33">
        <f t="shared" ref="P41:T41" ca="1" si="76">COUNTIF(J41, "&lt;30")</f>
        <v>1</v>
      </c>
      <c r="Q41" s="33">
        <f t="shared" ca="1" si="76"/>
        <v>1</v>
      </c>
      <c r="R41" s="33">
        <f t="shared" ca="1" si="76"/>
        <v>1</v>
      </c>
      <c r="S41" s="33">
        <f t="shared" ca="1" si="76"/>
        <v>1</v>
      </c>
      <c r="T41" s="33">
        <f t="shared" ca="1" si="76"/>
        <v>0</v>
      </c>
      <c r="U41" s="34">
        <f t="shared" ca="1" si="2"/>
        <v>4</v>
      </c>
      <c r="W41" s="3" t="s">
        <v>149</v>
      </c>
      <c r="X41" s="71">
        <v>0</v>
      </c>
    </row>
    <row r="42" spans="1:24" ht="17.399999999999999">
      <c r="A42" s="3">
        <v>39</v>
      </c>
      <c r="B42" s="3" t="s">
        <v>146</v>
      </c>
      <c r="C42" s="22" t="s">
        <v>147</v>
      </c>
      <c r="D42" s="22"/>
      <c r="E42" s="28">
        <v>45865</v>
      </c>
      <c r="F42" s="28">
        <v>45865</v>
      </c>
      <c r="G42" s="28">
        <v>45975</v>
      </c>
      <c r="H42" s="28">
        <v>45975</v>
      </c>
      <c r="I42" s="28"/>
      <c r="J42" s="32">
        <f t="shared" ref="J42:N42" ca="1" si="77">IF(OR($W$1="",E42=""),"",E42-$W$1)</f>
        <v>-432</v>
      </c>
      <c r="K42" s="32">
        <f t="shared" ca="1" si="77"/>
        <v>-432</v>
      </c>
      <c r="L42" s="32">
        <f t="shared" ca="1" si="77"/>
        <v>-322</v>
      </c>
      <c r="M42" s="32">
        <f t="shared" ca="1" si="77"/>
        <v>-322</v>
      </c>
      <c r="N42" s="32" t="str">
        <f t="shared" ca="1" si="77"/>
        <v/>
      </c>
      <c r="O42" s="195"/>
      <c r="P42" s="33">
        <f t="shared" ref="P42:T42" ca="1" si="78">COUNTIF(J42, "&lt;30")</f>
        <v>1</v>
      </c>
      <c r="Q42" s="33">
        <f t="shared" ca="1" si="78"/>
        <v>1</v>
      </c>
      <c r="R42" s="33">
        <f t="shared" ca="1" si="78"/>
        <v>1</v>
      </c>
      <c r="S42" s="33">
        <f t="shared" ca="1" si="78"/>
        <v>1</v>
      </c>
      <c r="T42" s="33">
        <f t="shared" ca="1" si="78"/>
        <v>0</v>
      </c>
      <c r="U42" s="34">
        <f t="shared" ca="1" si="2"/>
        <v>4</v>
      </c>
      <c r="W42" s="3" t="s">
        <v>146</v>
      </c>
      <c r="X42" s="71">
        <v>2</v>
      </c>
    </row>
    <row r="43" spans="1:24" ht="17.399999999999999">
      <c r="A43" s="3">
        <v>40</v>
      </c>
      <c r="B43" s="3" t="s">
        <v>69</v>
      </c>
      <c r="C43" s="22" t="s">
        <v>70</v>
      </c>
      <c r="D43" s="22"/>
      <c r="E43" s="28"/>
      <c r="F43" s="28"/>
      <c r="G43" s="28"/>
      <c r="H43" s="28"/>
      <c r="I43" s="28"/>
      <c r="J43" s="128"/>
      <c r="K43" s="32" t="str">
        <f t="shared" ref="K43:N43" ca="1" si="79">IF(OR($W$1="",F43=""),"",F43-$W$1)</f>
        <v/>
      </c>
      <c r="L43" s="32" t="str">
        <f t="shared" ca="1" si="79"/>
        <v/>
      </c>
      <c r="M43" s="32" t="str">
        <f t="shared" ca="1" si="79"/>
        <v/>
      </c>
      <c r="N43" s="32" t="str">
        <f t="shared" ca="1" si="79"/>
        <v/>
      </c>
      <c r="O43" s="195"/>
      <c r="P43" s="33">
        <f t="shared" ref="P43:T43" si="80">COUNTIF(J43, "&lt;30")</f>
        <v>0</v>
      </c>
      <c r="Q43" s="33">
        <f t="shared" ca="1" si="80"/>
        <v>0</v>
      </c>
      <c r="R43" s="33">
        <f t="shared" ca="1" si="80"/>
        <v>0</v>
      </c>
      <c r="S43" s="33">
        <f t="shared" ca="1" si="80"/>
        <v>0</v>
      </c>
      <c r="T43" s="33">
        <f t="shared" ca="1" si="80"/>
        <v>0</v>
      </c>
      <c r="U43" s="34">
        <f t="shared" ca="1" si="2"/>
        <v>0</v>
      </c>
      <c r="W43" s="3" t="s">
        <v>69</v>
      </c>
      <c r="X43" s="71">
        <v>0</v>
      </c>
    </row>
    <row r="44" spans="1:24" ht="17.399999999999999">
      <c r="A44" s="3">
        <v>41</v>
      </c>
      <c r="B44" s="3" t="s">
        <v>157</v>
      </c>
      <c r="C44" s="22" t="s">
        <v>70</v>
      </c>
      <c r="D44" s="22"/>
      <c r="E44" s="28">
        <v>45858</v>
      </c>
      <c r="F44" s="28">
        <v>45858</v>
      </c>
      <c r="G44" s="28">
        <v>45978</v>
      </c>
      <c r="H44" s="28">
        <v>45978</v>
      </c>
      <c r="I44" s="28"/>
      <c r="J44" s="32">
        <f t="shared" ref="J44:N44" ca="1" si="81">IF(OR($W$1="",E44=""),"",E44-$W$1)</f>
        <v>-439</v>
      </c>
      <c r="K44" s="32">
        <f t="shared" ca="1" si="81"/>
        <v>-439</v>
      </c>
      <c r="L44" s="32">
        <f t="shared" ca="1" si="81"/>
        <v>-319</v>
      </c>
      <c r="M44" s="32">
        <f t="shared" ca="1" si="81"/>
        <v>-319</v>
      </c>
      <c r="N44" s="32" t="str">
        <f t="shared" ca="1" si="81"/>
        <v/>
      </c>
      <c r="O44" s="195"/>
      <c r="P44" s="33">
        <f t="shared" ref="P44:T44" ca="1" si="82">COUNTIF(J44, "&lt;30")</f>
        <v>1</v>
      </c>
      <c r="Q44" s="33">
        <f t="shared" ca="1" si="82"/>
        <v>1</v>
      </c>
      <c r="R44" s="33">
        <f t="shared" ca="1" si="82"/>
        <v>1</v>
      </c>
      <c r="S44" s="33">
        <f t="shared" ca="1" si="82"/>
        <v>1</v>
      </c>
      <c r="T44" s="33">
        <f t="shared" ca="1" si="82"/>
        <v>0</v>
      </c>
      <c r="U44" s="34">
        <f t="shared" ca="1" si="2"/>
        <v>4</v>
      </c>
      <c r="W44" s="3" t="s">
        <v>157</v>
      </c>
      <c r="X44" s="71">
        <v>2</v>
      </c>
    </row>
    <row r="45" spans="1:24" ht="17.399999999999999">
      <c r="A45" s="3">
        <v>42</v>
      </c>
      <c r="B45" s="3" t="s">
        <v>73</v>
      </c>
      <c r="C45" s="22" t="s">
        <v>70</v>
      </c>
      <c r="D45" s="22"/>
      <c r="E45" s="28"/>
      <c r="F45" s="28"/>
      <c r="G45" s="28"/>
      <c r="H45" s="28"/>
      <c r="I45" s="28"/>
      <c r="J45" s="32" t="str">
        <f t="shared" ref="J45:N45" ca="1" si="83">IF(OR($W$1="",E45=""),"",E45-$W$1)</f>
        <v/>
      </c>
      <c r="K45" s="32" t="str">
        <f t="shared" ca="1" si="83"/>
        <v/>
      </c>
      <c r="L45" s="32" t="str">
        <f t="shared" ca="1" si="83"/>
        <v/>
      </c>
      <c r="M45" s="32" t="str">
        <f t="shared" ca="1" si="83"/>
        <v/>
      </c>
      <c r="N45" s="32" t="str">
        <f t="shared" ca="1" si="83"/>
        <v/>
      </c>
      <c r="O45" s="195"/>
      <c r="P45" s="33">
        <f t="shared" ref="P45:T45" ca="1" si="84">COUNTIF(J45, "&lt;30")</f>
        <v>0</v>
      </c>
      <c r="Q45" s="33">
        <f t="shared" ca="1" si="84"/>
        <v>0</v>
      </c>
      <c r="R45" s="33">
        <f t="shared" ca="1" si="84"/>
        <v>0</v>
      </c>
      <c r="S45" s="33">
        <f t="shared" ca="1" si="84"/>
        <v>0</v>
      </c>
      <c r="T45" s="33">
        <f t="shared" ca="1" si="84"/>
        <v>0</v>
      </c>
      <c r="U45" s="34">
        <f t="shared" ca="1" si="2"/>
        <v>0</v>
      </c>
      <c r="W45" s="3" t="s">
        <v>73</v>
      </c>
      <c r="X45" s="71">
        <v>0</v>
      </c>
    </row>
    <row r="46" spans="1:24" ht="17.399999999999999">
      <c r="A46" s="3">
        <v>43</v>
      </c>
      <c r="B46" s="3" t="s">
        <v>74</v>
      </c>
      <c r="C46" s="22" t="s">
        <v>70</v>
      </c>
      <c r="D46" s="22"/>
      <c r="E46" s="28">
        <v>46005</v>
      </c>
      <c r="F46" s="28">
        <v>45917</v>
      </c>
      <c r="G46" s="28"/>
      <c r="H46" s="28">
        <v>45917</v>
      </c>
      <c r="I46" s="28">
        <v>45927</v>
      </c>
      <c r="J46" s="32">
        <f t="shared" ref="J46:N46" ca="1" si="85">IF(OR($W$1="",E46=""),"",E46-$W$1)</f>
        <v>-292</v>
      </c>
      <c r="K46" s="32">
        <f t="shared" ca="1" si="85"/>
        <v>-380</v>
      </c>
      <c r="L46" s="32" t="str">
        <f t="shared" ca="1" si="85"/>
        <v/>
      </c>
      <c r="M46" s="32">
        <f t="shared" ca="1" si="85"/>
        <v>-380</v>
      </c>
      <c r="N46" s="32">
        <f t="shared" ca="1" si="85"/>
        <v>-370</v>
      </c>
      <c r="O46" s="195"/>
      <c r="P46" s="33">
        <f t="shared" ref="P46:T46" ca="1" si="86">COUNTIF(J46, "&lt;30")</f>
        <v>1</v>
      </c>
      <c r="Q46" s="33">
        <f t="shared" ca="1" si="86"/>
        <v>1</v>
      </c>
      <c r="R46" s="33">
        <f t="shared" ca="1" si="86"/>
        <v>0</v>
      </c>
      <c r="S46" s="33">
        <f t="shared" ca="1" si="86"/>
        <v>1</v>
      </c>
      <c r="T46" s="33">
        <f t="shared" ca="1" si="86"/>
        <v>1</v>
      </c>
      <c r="U46" s="34">
        <f t="shared" ca="1" si="2"/>
        <v>4</v>
      </c>
      <c r="W46" s="3" t="s">
        <v>74</v>
      </c>
      <c r="X46" s="71">
        <v>0</v>
      </c>
    </row>
    <row r="47" spans="1:24" ht="17.399999999999999">
      <c r="A47" s="3">
        <v>44</v>
      </c>
      <c r="B47" s="3" t="s">
        <v>75</v>
      </c>
      <c r="C47" s="22" t="s">
        <v>70</v>
      </c>
      <c r="D47" s="22"/>
      <c r="E47" s="28"/>
      <c r="F47" s="28"/>
      <c r="G47" s="28"/>
      <c r="H47" s="28"/>
      <c r="I47" s="28"/>
      <c r="J47" s="32" t="str">
        <f t="shared" ref="J47:N47" ca="1" si="87">IF(OR($W$1="",E47=""),"",E47-$W$1)</f>
        <v/>
      </c>
      <c r="K47" s="32" t="str">
        <f t="shared" ca="1" si="87"/>
        <v/>
      </c>
      <c r="L47" s="32" t="str">
        <f t="shared" ca="1" si="87"/>
        <v/>
      </c>
      <c r="M47" s="32" t="str">
        <f t="shared" ca="1" si="87"/>
        <v/>
      </c>
      <c r="N47" s="32" t="str">
        <f t="shared" ca="1" si="87"/>
        <v/>
      </c>
      <c r="O47" s="195"/>
      <c r="P47" s="33">
        <f t="shared" ref="P47:T47" ca="1" si="88">COUNTIF(J47, "&lt;30")</f>
        <v>0</v>
      </c>
      <c r="Q47" s="33">
        <f t="shared" ca="1" si="88"/>
        <v>0</v>
      </c>
      <c r="R47" s="33">
        <f t="shared" ca="1" si="88"/>
        <v>0</v>
      </c>
      <c r="S47" s="33">
        <f t="shared" ca="1" si="88"/>
        <v>0</v>
      </c>
      <c r="T47" s="33">
        <f t="shared" ca="1" si="88"/>
        <v>0</v>
      </c>
      <c r="U47" s="34">
        <f t="shared" ca="1" si="2"/>
        <v>0</v>
      </c>
      <c r="W47" s="3" t="s">
        <v>75</v>
      </c>
      <c r="X47" s="71">
        <v>0</v>
      </c>
    </row>
    <row r="48" spans="1:24" ht="17.399999999999999">
      <c r="A48" s="3">
        <v>45</v>
      </c>
      <c r="B48" s="3" t="s">
        <v>155</v>
      </c>
      <c r="C48" s="22" t="s">
        <v>70</v>
      </c>
      <c r="D48" s="22"/>
      <c r="E48" s="28">
        <v>45840</v>
      </c>
      <c r="F48" s="28">
        <v>45840</v>
      </c>
      <c r="G48" s="28"/>
      <c r="H48" s="28">
        <v>45975</v>
      </c>
      <c r="I48" s="28">
        <v>45975</v>
      </c>
      <c r="J48" s="32">
        <f t="shared" ref="J48:N48" ca="1" si="89">IF(OR($W$1="",E48=""),"",E48-$W$1)</f>
        <v>-457</v>
      </c>
      <c r="K48" s="32">
        <f t="shared" ca="1" si="89"/>
        <v>-457</v>
      </c>
      <c r="L48" s="32" t="str">
        <f t="shared" ca="1" si="89"/>
        <v/>
      </c>
      <c r="M48" s="32">
        <f t="shared" ca="1" si="89"/>
        <v>-322</v>
      </c>
      <c r="N48" s="32">
        <f t="shared" ca="1" si="89"/>
        <v>-322</v>
      </c>
      <c r="O48" s="195"/>
      <c r="P48" s="33">
        <f t="shared" ref="P48:T48" ca="1" si="90">COUNTIF(J48, "&lt;30")</f>
        <v>1</v>
      </c>
      <c r="Q48" s="33">
        <f t="shared" ca="1" si="90"/>
        <v>1</v>
      </c>
      <c r="R48" s="33">
        <f t="shared" ca="1" si="90"/>
        <v>0</v>
      </c>
      <c r="S48" s="33">
        <f t="shared" ca="1" si="90"/>
        <v>1</v>
      </c>
      <c r="T48" s="33">
        <f t="shared" ca="1" si="90"/>
        <v>1</v>
      </c>
      <c r="U48" s="34">
        <f t="shared" ca="1" si="2"/>
        <v>4</v>
      </c>
      <c r="W48" s="3" t="s">
        <v>155</v>
      </c>
      <c r="X48" s="71">
        <v>2</v>
      </c>
    </row>
    <row r="49" spans="1:24" ht="17.399999999999999">
      <c r="A49" s="3">
        <v>46</v>
      </c>
      <c r="B49" s="3" t="s">
        <v>153</v>
      </c>
      <c r="C49" s="22" t="s">
        <v>70</v>
      </c>
      <c r="D49" s="22"/>
      <c r="E49" s="28">
        <v>45862</v>
      </c>
      <c r="F49" s="28">
        <v>45862</v>
      </c>
      <c r="G49" s="28">
        <v>45862</v>
      </c>
      <c r="H49" s="28">
        <v>45862</v>
      </c>
      <c r="I49" s="28"/>
      <c r="J49" s="32">
        <f t="shared" ref="J49:N49" ca="1" si="91">IF(OR($W$1="",E49=""),"",E49-$W$1)</f>
        <v>-435</v>
      </c>
      <c r="K49" s="32">
        <f t="shared" ca="1" si="91"/>
        <v>-435</v>
      </c>
      <c r="L49" s="32">
        <f t="shared" ca="1" si="91"/>
        <v>-435</v>
      </c>
      <c r="M49" s="32">
        <f t="shared" ca="1" si="91"/>
        <v>-435</v>
      </c>
      <c r="N49" s="32" t="str">
        <f t="shared" ca="1" si="91"/>
        <v/>
      </c>
      <c r="O49" s="195"/>
      <c r="P49" s="33">
        <f t="shared" ref="P49:T49" ca="1" si="92">COUNTIF(J49, "&lt;30")</f>
        <v>1</v>
      </c>
      <c r="Q49" s="33">
        <f t="shared" ca="1" si="92"/>
        <v>1</v>
      </c>
      <c r="R49" s="33">
        <f t="shared" ca="1" si="92"/>
        <v>1</v>
      </c>
      <c r="S49" s="33">
        <f t="shared" ca="1" si="92"/>
        <v>1</v>
      </c>
      <c r="T49" s="33">
        <f t="shared" ca="1" si="92"/>
        <v>0</v>
      </c>
      <c r="U49" s="34">
        <f t="shared" ca="1" si="2"/>
        <v>4</v>
      </c>
      <c r="W49" s="3" t="s">
        <v>153</v>
      </c>
      <c r="X49" s="71">
        <v>4</v>
      </c>
    </row>
    <row r="50" spans="1:24" ht="17.399999999999999">
      <c r="A50" s="3">
        <v>47</v>
      </c>
      <c r="B50" s="3" t="s">
        <v>77</v>
      </c>
      <c r="C50" s="22" t="s">
        <v>70</v>
      </c>
      <c r="D50" s="22"/>
      <c r="E50" s="28">
        <v>45809</v>
      </c>
      <c r="F50" s="28">
        <v>45810</v>
      </c>
      <c r="G50" s="28"/>
      <c r="H50" s="28">
        <v>45978</v>
      </c>
      <c r="I50" s="28">
        <v>45978</v>
      </c>
      <c r="J50" s="32">
        <f t="shared" ref="J50:N50" ca="1" si="93">IF(OR($W$1="",E50=""),"",E50-$W$1)</f>
        <v>-488</v>
      </c>
      <c r="K50" s="32">
        <f t="shared" ca="1" si="93"/>
        <v>-487</v>
      </c>
      <c r="L50" s="32" t="str">
        <f t="shared" ca="1" si="93"/>
        <v/>
      </c>
      <c r="M50" s="32">
        <f t="shared" ca="1" si="93"/>
        <v>-319</v>
      </c>
      <c r="N50" s="32">
        <f t="shared" ca="1" si="93"/>
        <v>-319</v>
      </c>
      <c r="O50" s="195"/>
      <c r="P50" s="33">
        <f t="shared" ref="P50:T50" ca="1" si="94">COUNTIF(J50, "&lt;30")</f>
        <v>1</v>
      </c>
      <c r="Q50" s="33">
        <f t="shared" ca="1" si="94"/>
        <v>1</v>
      </c>
      <c r="R50" s="33">
        <f t="shared" ca="1" si="94"/>
        <v>0</v>
      </c>
      <c r="S50" s="33">
        <f t="shared" ca="1" si="94"/>
        <v>1</v>
      </c>
      <c r="T50" s="33">
        <f t="shared" ca="1" si="94"/>
        <v>1</v>
      </c>
      <c r="U50" s="34">
        <f t="shared" ca="1" si="2"/>
        <v>4</v>
      </c>
      <c r="W50" s="3" t="s">
        <v>77</v>
      </c>
      <c r="X50" s="71">
        <v>2</v>
      </c>
    </row>
    <row r="51" spans="1:24" ht="17.399999999999999">
      <c r="A51" s="3">
        <v>48</v>
      </c>
      <c r="B51" s="3" t="s">
        <v>159</v>
      </c>
      <c r="C51" s="22" t="s">
        <v>70</v>
      </c>
      <c r="D51" s="22"/>
      <c r="E51" s="28">
        <v>45787</v>
      </c>
      <c r="F51" s="28">
        <v>45787</v>
      </c>
      <c r="G51" s="28">
        <v>46005</v>
      </c>
      <c r="H51" s="28">
        <v>46005</v>
      </c>
      <c r="I51" s="28"/>
      <c r="J51" s="32">
        <f t="shared" ref="J51:N51" ca="1" si="95">IF(OR($W$1="",E51=""),"",E51-$W$1)</f>
        <v>-510</v>
      </c>
      <c r="K51" s="32">
        <f t="shared" ca="1" si="95"/>
        <v>-510</v>
      </c>
      <c r="L51" s="32">
        <f t="shared" ca="1" si="95"/>
        <v>-292</v>
      </c>
      <c r="M51" s="32">
        <f t="shared" ca="1" si="95"/>
        <v>-292</v>
      </c>
      <c r="N51" s="32" t="str">
        <f t="shared" ca="1" si="95"/>
        <v/>
      </c>
      <c r="O51" s="195"/>
      <c r="P51" s="33">
        <f t="shared" ref="P51:T51" ca="1" si="96">COUNTIF(J51, "&lt;30")</f>
        <v>1</v>
      </c>
      <c r="Q51" s="33">
        <f t="shared" ca="1" si="96"/>
        <v>1</v>
      </c>
      <c r="R51" s="33">
        <f t="shared" ca="1" si="96"/>
        <v>1</v>
      </c>
      <c r="S51" s="33">
        <f t="shared" ca="1" si="96"/>
        <v>1</v>
      </c>
      <c r="T51" s="33">
        <f t="shared" ca="1" si="96"/>
        <v>0</v>
      </c>
      <c r="U51" s="34">
        <f t="shared" ca="1" si="2"/>
        <v>4</v>
      </c>
      <c r="W51" s="3" t="s">
        <v>159</v>
      </c>
      <c r="X51" s="71">
        <v>2</v>
      </c>
    </row>
    <row r="52" spans="1:24" ht="17.399999999999999">
      <c r="A52" s="3">
        <v>49</v>
      </c>
      <c r="B52" s="3" t="s">
        <v>30</v>
      </c>
      <c r="C52" s="22" t="s">
        <v>187</v>
      </c>
      <c r="D52" s="22"/>
      <c r="E52" s="28">
        <v>45809</v>
      </c>
      <c r="F52" s="28">
        <v>45809</v>
      </c>
      <c r="H52" s="28">
        <v>45927</v>
      </c>
      <c r="I52" s="28">
        <v>45927</v>
      </c>
      <c r="J52" s="32">
        <f t="shared" ref="J52:N52" ca="1" si="97">IF(OR($W$1="",E52=""),"",E52-$W$1)</f>
        <v>-488</v>
      </c>
      <c r="K52" s="32">
        <f t="shared" ca="1" si="97"/>
        <v>-488</v>
      </c>
      <c r="L52" s="32" t="str">
        <f t="shared" ca="1" si="97"/>
        <v/>
      </c>
      <c r="M52" s="32">
        <f t="shared" ca="1" si="97"/>
        <v>-370</v>
      </c>
      <c r="N52" s="32">
        <f t="shared" ca="1" si="97"/>
        <v>-370</v>
      </c>
      <c r="O52" s="195"/>
      <c r="P52" s="33">
        <f t="shared" ref="P52:T52" ca="1" si="98">COUNTIF(J52, "&lt;30")</f>
        <v>1</v>
      </c>
      <c r="Q52" s="33">
        <f t="shared" ca="1" si="98"/>
        <v>1</v>
      </c>
      <c r="R52" s="33">
        <f t="shared" ca="1" si="98"/>
        <v>0</v>
      </c>
      <c r="S52" s="33">
        <f t="shared" ca="1" si="98"/>
        <v>1</v>
      </c>
      <c r="T52" s="33">
        <f t="shared" ca="1" si="98"/>
        <v>1</v>
      </c>
      <c r="U52" s="34">
        <f t="shared" ca="1" si="2"/>
        <v>4</v>
      </c>
      <c r="W52" s="3" t="s">
        <v>30</v>
      </c>
      <c r="X52" s="71">
        <v>2</v>
      </c>
    </row>
    <row r="53" spans="1:24" ht="17.399999999999999">
      <c r="A53" s="3">
        <v>50</v>
      </c>
      <c r="B53" s="3" t="s">
        <v>35</v>
      </c>
      <c r="C53" s="22" t="s">
        <v>187</v>
      </c>
      <c r="D53" s="22"/>
      <c r="E53" s="28">
        <v>45847</v>
      </c>
      <c r="F53" s="28">
        <v>45847</v>
      </c>
      <c r="G53" s="28">
        <v>45927</v>
      </c>
      <c r="H53" s="28">
        <v>45927</v>
      </c>
      <c r="I53" s="28"/>
      <c r="J53" s="32">
        <f t="shared" ref="J53:N53" ca="1" si="99">IF(OR($W$1="",E53=""),"",E53-$W$1)</f>
        <v>-450</v>
      </c>
      <c r="K53" s="32">
        <f t="shared" ca="1" si="99"/>
        <v>-450</v>
      </c>
      <c r="L53" s="32">
        <f t="shared" ca="1" si="99"/>
        <v>-370</v>
      </c>
      <c r="M53" s="32">
        <f t="shared" ca="1" si="99"/>
        <v>-370</v>
      </c>
      <c r="N53" s="32" t="str">
        <f t="shared" ca="1" si="99"/>
        <v/>
      </c>
      <c r="O53" s="195"/>
      <c r="P53" s="33">
        <f t="shared" ref="P53:T53" ca="1" si="100">COUNTIF(J53, "&lt;30")</f>
        <v>1</v>
      </c>
      <c r="Q53" s="33">
        <f t="shared" ca="1" si="100"/>
        <v>1</v>
      </c>
      <c r="R53" s="33">
        <f t="shared" ca="1" si="100"/>
        <v>1</v>
      </c>
      <c r="S53" s="33">
        <f t="shared" ca="1" si="100"/>
        <v>1</v>
      </c>
      <c r="T53" s="33">
        <f t="shared" ca="1" si="100"/>
        <v>0</v>
      </c>
      <c r="U53" s="34">
        <f t="shared" ca="1" si="2"/>
        <v>4</v>
      </c>
      <c r="W53" s="3" t="s">
        <v>35</v>
      </c>
      <c r="X53" s="71">
        <v>2</v>
      </c>
    </row>
    <row r="54" spans="1:24" ht="17.399999999999999">
      <c r="A54" s="3">
        <v>51</v>
      </c>
      <c r="B54" s="3" t="s">
        <v>188</v>
      </c>
      <c r="C54" s="22" t="s">
        <v>108</v>
      </c>
      <c r="D54" s="22"/>
      <c r="E54" s="28">
        <v>45978</v>
      </c>
      <c r="F54" s="28">
        <v>45848</v>
      </c>
      <c r="G54" s="28">
        <v>45978</v>
      </c>
      <c r="H54" s="28">
        <v>45978</v>
      </c>
      <c r="I54" s="28"/>
      <c r="J54" s="32">
        <f t="shared" ref="J54:N54" ca="1" si="101">IF(OR($W$1="",E54=""),"",E54-$W$1)</f>
        <v>-319</v>
      </c>
      <c r="K54" s="32">
        <f t="shared" ca="1" si="101"/>
        <v>-449</v>
      </c>
      <c r="L54" s="32">
        <f t="shared" ca="1" si="101"/>
        <v>-319</v>
      </c>
      <c r="M54" s="32">
        <f t="shared" ca="1" si="101"/>
        <v>-319</v>
      </c>
      <c r="N54" s="32" t="str">
        <f t="shared" ca="1" si="101"/>
        <v/>
      </c>
      <c r="O54" s="195"/>
      <c r="P54" s="33">
        <f t="shared" ref="P54:T54" ca="1" si="102">COUNTIF(J54, "&lt;30")</f>
        <v>1</v>
      </c>
      <c r="Q54" s="33">
        <f t="shared" ca="1" si="102"/>
        <v>1</v>
      </c>
      <c r="R54" s="33">
        <f t="shared" ca="1" si="102"/>
        <v>1</v>
      </c>
      <c r="S54" s="33">
        <f t="shared" ca="1" si="102"/>
        <v>1</v>
      </c>
      <c r="T54" s="33">
        <f t="shared" ca="1" si="102"/>
        <v>0</v>
      </c>
      <c r="U54" s="34">
        <f t="shared" ca="1" si="2"/>
        <v>4</v>
      </c>
      <c r="W54" s="3" t="s">
        <v>188</v>
      </c>
      <c r="X54" s="71">
        <v>1</v>
      </c>
    </row>
    <row r="55" spans="1:24" ht="17.399999999999999">
      <c r="A55" s="3">
        <v>52</v>
      </c>
      <c r="B55" s="3" t="s">
        <v>189</v>
      </c>
      <c r="C55" s="22" t="s">
        <v>108</v>
      </c>
      <c r="D55" s="22"/>
      <c r="E55" s="28">
        <v>45875</v>
      </c>
      <c r="F55" s="28">
        <v>45875</v>
      </c>
      <c r="G55" s="28"/>
      <c r="H55" s="28">
        <v>45890</v>
      </c>
      <c r="I55" s="28">
        <v>45890</v>
      </c>
      <c r="J55" s="32">
        <f t="shared" ref="J55:N55" ca="1" si="103">IF(OR($W$1="",E55=""),"",E55-$W$1)</f>
        <v>-422</v>
      </c>
      <c r="K55" s="32">
        <f t="shared" ca="1" si="103"/>
        <v>-422</v>
      </c>
      <c r="L55" s="32" t="str">
        <f t="shared" ca="1" si="103"/>
        <v/>
      </c>
      <c r="M55" s="32">
        <f t="shared" ca="1" si="103"/>
        <v>-407</v>
      </c>
      <c r="N55" s="32">
        <f t="shared" ca="1" si="103"/>
        <v>-407</v>
      </c>
      <c r="O55" s="195"/>
      <c r="P55" s="33">
        <f t="shared" ref="P55:T55" ca="1" si="104">COUNTIF(J55, "&lt;30")</f>
        <v>1</v>
      </c>
      <c r="Q55" s="33">
        <f t="shared" ca="1" si="104"/>
        <v>1</v>
      </c>
      <c r="R55" s="33">
        <f t="shared" ca="1" si="104"/>
        <v>0</v>
      </c>
      <c r="S55" s="33">
        <f t="shared" ca="1" si="104"/>
        <v>1</v>
      </c>
      <c r="T55" s="33">
        <f t="shared" ca="1" si="104"/>
        <v>1</v>
      </c>
      <c r="U55" s="34">
        <f t="shared" ca="1" si="2"/>
        <v>4</v>
      </c>
      <c r="W55" s="3" t="s">
        <v>189</v>
      </c>
      <c r="X55" s="71">
        <v>0</v>
      </c>
    </row>
    <row r="56" spans="1:24" ht="17.399999999999999">
      <c r="A56" s="3">
        <v>53</v>
      </c>
      <c r="B56" s="3" t="s">
        <v>190</v>
      </c>
      <c r="C56" s="22" t="s">
        <v>108</v>
      </c>
      <c r="D56" s="22"/>
      <c r="E56" s="28">
        <v>45927</v>
      </c>
      <c r="F56" s="28">
        <v>45927</v>
      </c>
      <c r="G56" s="28">
        <v>45890</v>
      </c>
      <c r="H56" s="28"/>
      <c r="I56" s="28"/>
      <c r="J56" s="32">
        <f t="shared" ref="J56:N56" ca="1" si="105">IF(OR($W$1="",E56=""),"",E56-$W$1)</f>
        <v>-370</v>
      </c>
      <c r="K56" s="32">
        <f t="shared" ca="1" si="105"/>
        <v>-370</v>
      </c>
      <c r="L56" s="32">
        <f t="shared" ca="1" si="105"/>
        <v>-407</v>
      </c>
      <c r="M56" s="32" t="str">
        <f t="shared" ca="1" si="105"/>
        <v/>
      </c>
      <c r="N56" s="32" t="str">
        <f t="shared" ca="1" si="105"/>
        <v/>
      </c>
      <c r="O56" s="195"/>
      <c r="P56" s="33">
        <f t="shared" ref="P56:T56" ca="1" si="106">COUNTIF(J56, "&lt;30")</f>
        <v>1</v>
      </c>
      <c r="Q56" s="33">
        <f t="shared" ca="1" si="106"/>
        <v>1</v>
      </c>
      <c r="R56" s="33">
        <f t="shared" ca="1" si="106"/>
        <v>1</v>
      </c>
      <c r="S56" s="33">
        <f t="shared" ca="1" si="106"/>
        <v>0</v>
      </c>
      <c r="T56" s="33">
        <f t="shared" ca="1" si="106"/>
        <v>0</v>
      </c>
      <c r="U56" s="34">
        <f t="shared" ca="1" si="2"/>
        <v>3</v>
      </c>
      <c r="W56" s="3" t="s">
        <v>190</v>
      </c>
      <c r="X56" s="71">
        <v>0</v>
      </c>
    </row>
    <row r="57" spans="1:24" ht="17.399999999999999">
      <c r="A57" s="3">
        <v>54</v>
      </c>
      <c r="B57" s="3" t="s">
        <v>191</v>
      </c>
      <c r="C57" s="22" t="s">
        <v>108</v>
      </c>
      <c r="D57" s="22"/>
      <c r="E57" s="28">
        <v>45863</v>
      </c>
      <c r="F57" s="28">
        <v>45863</v>
      </c>
      <c r="G57" s="28">
        <v>45978</v>
      </c>
      <c r="H57" s="28">
        <v>45978</v>
      </c>
      <c r="I57" s="28"/>
      <c r="J57" s="32">
        <f t="shared" ref="J57:N57" ca="1" si="107">IF(OR($W$1="",E57=""),"",E57-$W$1)</f>
        <v>-434</v>
      </c>
      <c r="K57" s="32">
        <f t="shared" ca="1" si="107"/>
        <v>-434</v>
      </c>
      <c r="L57" s="32">
        <f t="shared" ca="1" si="107"/>
        <v>-319</v>
      </c>
      <c r="M57" s="32">
        <f t="shared" ca="1" si="107"/>
        <v>-319</v>
      </c>
      <c r="N57" s="32" t="str">
        <f t="shared" ca="1" si="107"/>
        <v/>
      </c>
      <c r="O57" s="195"/>
      <c r="P57" s="33">
        <f t="shared" ref="P57:T57" ca="1" si="108">COUNTIF(J57, "&lt;30")</f>
        <v>1</v>
      </c>
      <c r="Q57" s="33">
        <f t="shared" ca="1" si="108"/>
        <v>1</v>
      </c>
      <c r="R57" s="33">
        <f t="shared" ca="1" si="108"/>
        <v>1</v>
      </c>
      <c r="S57" s="33">
        <f t="shared" ca="1" si="108"/>
        <v>1</v>
      </c>
      <c r="T57" s="33">
        <f t="shared" ca="1" si="108"/>
        <v>0</v>
      </c>
      <c r="U57" s="34">
        <f t="shared" ca="1" si="2"/>
        <v>4</v>
      </c>
      <c r="W57" s="3" t="s">
        <v>191</v>
      </c>
      <c r="X57" s="71">
        <v>2</v>
      </c>
    </row>
    <row r="58" spans="1:24" ht="17.399999999999999">
      <c r="A58" s="3">
        <v>55</v>
      </c>
      <c r="B58" s="3" t="s">
        <v>110</v>
      </c>
      <c r="C58" s="22" t="s">
        <v>108</v>
      </c>
      <c r="D58" s="22"/>
      <c r="E58" s="28"/>
      <c r="F58" s="28"/>
      <c r="G58" s="28"/>
      <c r="H58" s="28"/>
      <c r="I58" s="28"/>
      <c r="J58" s="32" t="str">
        <f t="shared" ref="J58:N58" ca="1" si="109">IF(OR($W$1="",E58=""),"",E58-$W$1)</f>
        <v/>
      </c>
      <c r="K58" s="32" t="str">
        <f t="shared" ca="1" si="109"/>
        <v/>
      </c>
      <c r="L58" s="32" t="str">
        <f t="shared" ca="1" si="109"/>
        <v/>
      </c>
      <c r="M58" s="32" t="str">
        <f t="shared" ca="1" si="109"/>
        <v/>
      </c>
      <c r="N58" s="32" t="str">
        <f t="shared" ca="1" si="109"/>
        <v/>
      </c>
      <c r="O58" s="195"/>
      <c r="P58" s="33">
        <f t="shared" ref="P58:T58" ca="1" si="110">COUNTIF(J58, "&lt;30")</f>
        <v>0</v>
      </c>
      <c r="Q58" s="33">
        <f t="shared" ca="1" si="110"/>
        <v>0</v>
      </c>
      <c r="R58" s="33">
        <f t="shared" ca="1" si="110"/>
        <v>0</v>
      </c>
      <c r="S58" s="33">
        <f t="shared" ca="1" si="110"/>
        <v>0</v>
      </c>
      <c r="T58" s="33">
        <f t="shared" ca="1" si="110"/>
        <v>0</v>
      </c>
      <c r="U58" s="34">
        <f t="shared" ca="1" si="2"/>
        <v>0</v>
      </c>
      <c r="W58" s="3" t="s">
        <v>110</v>
      </c>
      <c r="X58" s="71">
        <v>0</v>
      </c>
    </row>
    <row r="59" spans="1:24" ht="17.399999999999999">
      <c r="A59" s="3">
        <v>56</v>
      </c>
      <c r="B59" s="3" t="s">
        <v>118</v>
      </c>
      <c r="C59" s="22" t="s">
        <v>119</v>
      </c>
      <c r="D59" s="22"/>
      <c r="E59" s="28">
        <v>45839</v>
      </c>
      <c r="F59" s="28">
        <v>45839</v>
      </c>
      <c r="G59" s="28">
        <v>45839</v>
      </c>
      <c r="H59" s="28">
        <v>45839</v>
      </c>
      <c r="I59" s="28"/>
      <c r="J59" s="32">
        <f t="shared" ref="J59:N59" ca="1" si="111">IF(OR($W$1="",E59=""),"",E59-$W$1)</f>
        <v>-458</v>
      </c>
      <c r="K59" s="32">
        <f t="shared" ca="1" si="111"/>
        <v>-458</v>
      </c>
      <c r="L59" s="32">
        <f t="shared" ca="1" si="111"/>
        <v>-458</v>
      </c>
      <c r="M59" s="32">
        <f t="shared" ca="1" si="111"/>
        <v>-458</v>
      </c>
      <c r="N59" s="32" t="str">
        <f t="shared" ca="1" si="111"/>
        <v/>
      </c>
      <c r="O59" s="195"/>
      <c r="P59" s="33">
        <f t="shared" ref="P59:T59" ca="1" si="112">COUNTIF(J59, "&lt;30")</f>
        <v>1</v>
      </c>
      <c r="Q59" s="33">
        <f t="shared" ca="1" si="112"/>
        <v>1</v>
      </c>
      <c r="R59" s="33">
        <f t="shared" ca="1" si="112"/>
        <v>1</v>
      </c>
      <c r="S59" s="33">
        <f t="shared" ca="1" si="112"/>
        <v>1</v>
      </c>
      <c r="T59" s="33">
        <f t="shared" ca="1" si="112"/>
        <v>0</v>
      </c>
      <c r="U59" s="34">
        <f t="shared" ca="1" si="2"/>
        <v>4</v>
      </c>
      <c r="W59" s="3" t="s">
        <v>118</v>
      </c>
      <c r="X59" s="71">
        <v>4</v>
      </c>
    </row>
    <row r="60" spans="1:24" ht="17.399999999999999">
      <c r="A60" s="3">
        <v>57</v>
      </c>
      <c r="B60" s="3" t="s">
        <v>120</v>
      </c>
      <c r="C60" s="22" t="s">
        <v>119</v>
      </c>
      <c r="D60" s="22"/>
      <c r="E60" s="28"/>
      <c r="F60" s="28"/>
      <c r="G60" s="28"/>
      <c r="H60" s="28"/>
      <c r="I60" s="28"/>
      <c r="J60" s="32" t="str">
        <f t="shared" ref="J60:N60" ca="1" si="113">IF(OR($W$1="",E60=""),"",E60-$W$1)</f>
        <v/>
      </c>
      <c r="K60" s="32" t="str">
        <f t="shared" ca="1" si="113"/>
        <v/>
      </c>
      <c r="L60" s="32" t="str">
        <f t="shared" ca="1" si="113"/>
        <v/>
      </c>
      <c r="M60" s="32" t="str">
        <f t="shared" ca="1" si="113"/>
        <v/>
      </c>
      <c r="N60" s="32" t="str">
        <f t="shared" ca="1" si="113"/>
        <v/>
      </c>
      <c r="O60" s="195"/>
      <c r="P60" s="33">
        <f t="shared" ref="P60:T60" ca="1" si="114">COUNTIF(J60, "&lt;30")</f>
        <v>0</v>
      </c>
      <c r="Q60" s="33">
        <f t="shared" ca="1" si="114"/>
        <v>0</v>
      </c>
      <c r="R60" s="33">
        <f t="shared" ca="1" si="114"/>
        <v>0</v>
      </c>
      <c r="S60" s="33">
        <f t="shared" ca="1" si="114"/>
        <v>0</v>
      </c>
      <c r="T60" s="33">
        <f t="shared" ca="1" si="114"/>
        <v>0</v>
      </c>
      <c r="U60" s="34">
        <f t="shared" ca="1" si="2"/>
        <v>0</v>
      </c>
      <c r="W60" s="3" t="s">
        <v>120</v>
      </c>
      <c r="X60" s="71">
        <v>0</v>
      </c>
    </row>
    <row r="61" spans="1:24" ht="17.399999999999999">
      <c r="A61" s="3">
        <v>58</v>
      </c>
      <c r="B61" s="3" t="s">
        <v>121</v>
      </c>
      <c r="C61" s="22" t="s">
        <v>119</v>
      </c>
      <c r="D61" s="22"/>
      <c r="E61" s="28">
        <v>46059</v>
      </c>
      <c r="F61" s="28">
        <v>46059</v>
      </c>
      <c r="G61" s="28">
        <v>45917</v>
      </c>
      <c r="H61" s="28">
        <v>45991</v>
      </c>
      <c r="J61" s="32">
        <f t="shared" ref="J61:N61" ca="1" si="115">IF(OR($W$1="",E61=""),"",E61-$W$1)</f>
        <v>-238</v>
      </c>
      <c r="K61" s="32">
        <f t="shared" ca="1" si="115"/>
        <v>-238</v>
      </c>
      <c r="L61" s="32">
        <f t="shared" ca="1" si="115"/>
        <v>-380</v>
      </c>
      <c r="M61" s="32">
        <f t="shared" ca="1" si="115"/>
        <v>-306</v>
      </c>
      <c r="N61" s="32" t="str">
        <f t="shared" ca="1" si="115"/>
        <v/>
      </c>
      <c r="O61" s="195"/>
      <c r="P61" s="33">
        <f t="shared" ref="P61:T61" ca="1" si="116">COUNTIF(J61, "&lt;30")</f>
        <v>1</v>
      </c>
      <c r="Q61" s="33">
        <f t="shared" ca="1" si="116"/>
        <v>1</v>
      </c>
      <c r="R61" s="33">
        <f t="shared" ca="1" si="116"/>
        <v>1</v>
      </c>
      <c r="S61" s="33">
        <f t="shared" ca="1" si="116"/>
        <v>1</v>
      </c>
      <c r="T61" s="33">
        <f t="shared" ca="1" si="116"/>
        <v>0</v>
      </c>
      <c r="U61" s="34">
        <f t="shared" ca="1" si="2"/>
        <v>4</v>
      </c>
      <c r="W61" s="3" t="s">
        <v>121</v>
      </c>
      <c r="X61" s="71">
        <v>0</v>
      </c>
    </row>
    <row r="62" spans="1:24" ht="17.399999999999999">
      <c r="A62" s="3">
        <v>59</v>
      </c>
      <c r="B62" s="3" t="s">
        <v>123</v>
      </c>
      <c r="C62" s="22" t="s">
        <v>119</v>
      </c>
      <c r="D62" s="22"/>
      <c r="E62" s="28">
        <v>46005</v>
      </c>
      <c r="F62" s="28">
        <v>46005</v>
      </c>
      <c r="G62" s="28"/>
      <c r="H62" s="28"/>
      <c r="I62" s="28"/>
      <c r="J62" s="32">
        <f t="shared" ref="J62:N62" ca="1" si="117">IF(OR($W$1="",E62=""),"",E62-$W$1)</f>
        <v>-292</v>
      </c>
      <c r="K62" s="32">
        <f t="shared" ca="1" si="117"/>
        <v>-292</v>
      </c>
      <c r="L62" s="32" t="str">
        <f t="shared" ca="1" si="117"/>
        <v/>
      </c>
      <c r="M62" s="32" t="str">
        <f t="shared" ca="1" si="117"/>
        <v/>
      </c>
      <c r="N62" s="32" t="str">
        <f t="shared" ca="1" si="117"/>
        <v/>
      </c>
      <c r="O62" s="195"/>
      <c r="P62" s="33">
        <f t="shared" ref="P62:T62" ca="1" si="118">COUNTIF(J62, "&lt;30")</f>
        <v>1</v>
      </c>
      <c r="Q62" s="33">
        <f t="shared" ca="1" si="118"/>
        <v>1</v>
      </c>
      <c r="R62" s="33">
        <f t="shared" ca="1" si="118"/>
        <v>0</v>
      </c>
      <c r="S62" s="33">
        <f t="shared" ca="1" si="118"/>
        <v>0</v>
      </c>
      <c r="T62" s="33">
        <f t="shared" ca="1" si="118"/>
        <v>0</v>
      </c>
      <c r="U62" s="34">
        <f t="shared" ca="1" si="2"/>
        <v>2</v>
      </c>
      <c r="W62" s="3" t="s">
        <v>123</v>
      </c>
      <c r="X62" s="71">
        <v>0</v>
      </c>
    </row>
    <row r="63" spans="1:24" ht="17.399999999999999">
      <c r="A63" s="3">
        <v>60</v>
      </c>
      <c r="B63" s="3" t="s">
        <v>124</v>
      </c>
      <c r="C63" s="22" t="s">
        <v>119</v>
      </c>
      <c r="D63" s="22"/>
      <c r="E63" s="28">
        <v>45862</v>
      </c>
      <c r="F63" s="28">
        <v>45862</v>
      </c>
      <c r="G63" s="28"/>
      <c r="H63" s="28">
        <v>45978</v>
      </c>
      <c r="I63" s="28"/>
      <c r="J63" s="32">
        <f t="shared" ref="J63:N63" ca="1" si="119">IF(OR($W$1="",E63=""),"",E63-$W$1)</f>
        <v>-435</v>
      </c>
      <c r="K63" s="32">
        <f t="shared" ca="1" si="119"/>
        <v>-435</v>
      </c>
      <c r="L63" s="32" t="str">
        <f t="shared" ca="1" si="119"/>
        <v/>
      </c>
      <c r="M63" s="32">
        <f t="shared" ca="1" si="119"/>
        <v>-319</v>
      </c>
      <c r="N63" s="32" t="str">
        <f t="shared" ca="1" si="119"/>
        <v/>
      </c>
      <c r="O63" s="195"/>
      <c r="P63" s="33">
        <f t="shared" ref="P63:T63" ca="1" si="120">COUNTIF(J63, "&lt;30")</f>
        <v>1</v>
      </c>
      <c r="Q63" s="33">
        <f t="shared" ca="1" si="120"/>
        <v>1</v>
      </c>
      <c r="R63" s="33">
        <f t="shared" ca="1" si="120"/>
        <v>0</v>
      </c>
      <c r="S63" s="33">
        <f t="shared" ca="1" si="120"/>
        <v>1</v>
      </c>
      <c r="T63" s="33">
        <f t="shared" ca="1" si="120"/>
        <v>0</v>
      </c>
      <c r="U63" s="34">
        <f t="shared" ca="1" si="2"/>
        <v>3</v>
      </c>
      <c r="W63" s="3" t="s">
        <v>124</v>
      </c>
      <c r="X63" s="71">
        <v>2</v>
      </c>
    </row>
    <row r="64" spans="1:24" ht="17.399999999999999">
      <c r="A64" s="3">
        <v>61</v>
      </c>
      <c r="B64" s="3" t="s">
        <v>125</v>
      </c>
      <c r="C64" s="22" t="s">
        <v>126</v>
      </c>
      <c r="D64" s="22"/>
      <c r="E64" s="28">
        <v>45893</v>
      </c>
      <c r="F64" s="28">
        <v>45893</v>
      </c>
      <c r="G64" s="28">
        <v>45862</v>
      </c>
      <c r="H64" s="28">
        <v>45862</v>
      </c>
      <c r="I64" s="28"/>
      <c r="J64" s="32">
        <f t="shared" ref="J64:N64" ca="1" si="121">IF(OR($W$1="",E64=""),"",E64-$W$1)</f>
        <v>-404</v>
      </c>
      <c r="K64" s="32">
        <f t="shared" ca="1" si="121"/>
        <v>-404</v>
      </c>
      <c r="L64" s="32">
        <f t="shared" ca="1" si="121"/>
        <v>-435</v>
      </c>
      <c r="M64" s="32">
        <f t="shared" ca="1" si="121"/>
        <v>-435</v>
      </c>
      <c r="N64" s="32" t="str">
        <f t="shared" ca="1" si="121"/>
        <v/>
      </c>
      <c r="O64" s="195"/>
      <c r="P64" s="33">
        <f t="shared" ref="P64:T64" ca="1" si="122">COUNTIF(J64, "&lt;30")</f>
        <v>1</v>
      </c>
      <c r="Q64" s="33">
        <f t="shared" ca="1" si="122"/>
        <v>1</v>
      </c>
      <c r="R64" s="33">
        <f t="shared" ca="1" si="122"/>
        <v>1</v>
      </c>
      <c r="S64" s="33">
        <f t="shared" ca="1" si="122"/>
        <v>1</v>
      </c>
      <c r="T64" s="33">
        <f t="shared" ca="1" si="122"/>
        <v>0</v>
      </c>
      <c r="U64" s="34">
        <f t="shared" ca="1" si="2"/>
        <v>4</v>
      </c>
      <c r="W64" s="3" t="s">
        <v>125</v>
      </c>
      <c r="X64" s="71">
        <v>2</v>
      </c>
    </row>
    <row r="65" spans="1:24" ht="17.399999999999999">
      <c r="A65" s="3">
        <v>62</v>
      </c>
      <c r="B65" s="3" t="s">
        <v>141</v>
      </c>
      <c r="C65" s="22" t="s">
        <v>130</v>
      </c>
      <c r="D65" s="22"/>
      <c r="E65" s="28">
        <v>45862</v>
      </c>
      <c r="F65" s="28">
        <v>45862</v>
      </c>
      <c r="G65" s="28"/>
      <c r="H65" s="28">
        <v>45862</v>
      </c>
      <c r="I65" s="28">
        <v>45862</v>
      </c>
      <c r="J65" s="32">
        <f t="shared" ref="J65:N65" ca="1" si="123">IF(OR($W$1="",E65=""),"",E65-$W$1)</f>
        <v>-435</v>
      </c>
      <c r="K65" s="32">
        <f t="shared" ca="1" si="123"/>
        <v>-435</v>
      </c>
      <c r="L65" s="32" t="str">
        <f t="shared" ca="1" si="123"/>
        <v/>
      </c>
      <c r="M65" s="32">
        <f t="shared" ca="1" si="123"/>
        <v>-435</v>
      </c>
      <c r="N65" s="32">
        <f t="shared" ca="1" si="123"/>
        <v>-435</v>
      </c>
      <c r="O65" s="195"/>
      <c r="P65" s="33">
        <f t="shared" ref="P65:T65" ca="1" si="124">COUNTIF(J65, "&lt;30")</f>
        <v>1</v>
      </c>
      <c r="Q65" s="33">
        <f t="shared" ca="1" si="124"/>
        <v>1</v>
      </c>
      <c r="R65" s="33">
        <f t="shared" ca="1" si="124"/>
        <v>0</v>
      </c>
      <c r="S65" s="33">
        <f t="shared" ca="1" si="124"/>
        <v>1</v>
      </c>
      <c r="T65" s="33">
        <f t="shared" ca="1" si="124"/>
        <v>1</v>
      </c>
      <c r="U65" s="34">
        <f t="shared" ca="1" si="2"/>
        <v>4</v>
      </c>
      <c r="W65" s="3" t="s">
        <v>141</v>
      </c>
      <c r="X65" s="71">
        <v>4</v>
      </c>
    </row>
    <row r="66" spans="1:24" ht="17.399999999999999">
      <c r="A66" s="3">
        <v>63</v>
      </c>
      <c r="B66" s="3" t="s">
        <v>137</v>
      </c>
      <c r="C66" s="22" t="s">
        <v>130</v>
      </c>
      <c r="D66" s="22"/>
      <c r="E66" s="28">
        <v>45970</v>
      </c>
      <c r="F66" s="28">
        <v>45970</v>
      </c>
      <c r="G66" s="28"/>
      <c r="H66" s="28"/>
      <c r="I66" s="28"/>
      <c r="J66" s="32">
        <f t="shared" ref="J66:N66" ca="1" si="125">IF(OR($W$1="",E66=""),"",E66-$W$1)</f>
        <v>-327</v>
      </c>
      <c r="K66" s="32">
        <f t="shared" ca="1" si="125"/>
        <v>-327</v>
      </c>
      <c r="L66" s="32" t="str">
        <f t="shared" ca="1" si="125"/>
        <v/>
      </c>
      <c r="M66" s="32" t="str">
        <f t="shared" ca="1" si="125"/>
        <v/>
      </c>
      <c r="N66" s="32" t="str">
        <f t="shared" ca="1" si="125"/>
        <v/>
      </c>
      <c r="O66" s="195"/>
      <c r="P66" s="33">
        <f t="shared" ref="P66:T66" ca="1" si="126">COUNTIF(J66, "&lt;30")</f>
        <v>1</v>
      </c>
      <c r="Q66" s="33">
        <f t="shared" ca="1" si="126"/>
        <v>1</v>
      </c>
      <c r="R66" s="33">
        <f t="shared" ca="1" si="126"/>
        <v>0</v>
      </c>
      <c r="S66" s="33">
        <f t="shared" ca="1" si="126"/>
        <v>0</v>
      </c>
      <c r="T66" s="33">
        <f t="shared" ca="1" si="126"/>
        <v>0</v>
      </c>
      <c r="U66" s="34">
        <f t="shared" ca="1" si="2"/>
        <v>2</v>
      </c>
      <c r="W66" s="3" t="s">
        <v>137</v>
      </c>
      <c r="X66" s="71">
        <v>0</v>
      </c>
    </row>
    <row r="67" spans="1:24" ht="17.399999999999999">
      <c r="A67" s="3">
        <v>64</v>
      </c>
      <c r="B67" s="3" t="s">
        <v>136</v>
      </c>
      <c r="C67" s="22" t="s">
        <v>130</v>
      </c>
      <c r="D67" s="22"/>
      <c r="E67" s="28">
        <v>45970</v>
      </c>
      <c r="F67" s="28">
        <v>45862</v>
      </c>
      <c r="G67" s="28">
        <v>45862</v>
      </c>
      <c r="H67" s="28">
        <v>45862</v>
      </c>
      <c r="I67" s="28"/>
      <c r="J67" s="32">
        <f t="shared" ref="J67:N67" ca="1" si="127">IF(OR($W$1="",E67=""),"",E67-$W$1)</f>
        <v>-327</v>
      </c>
      <c r="K67" s="32">
        <f t="shared" ca="1" si="127"/>
        <v>-435</v>
      </c>
      <c r="L67" s="32">
        <f t="shared" ca="1" si="127"/>
        <v>-435</v>
      </c>
      <c r="M67" s="32">
        <f t="shared" ca="1" si="127"/>
        <v>-435</v>
      </c>
      <c r="N67" s="32" t="str">
        <f t="shared" ca="1" si="127"/>
        <v/>
      </c>
      <c r="O67" s="195"/>
      <c r="P67" s="33">
        <f t="shared" ref="P67:T67" ca="1" si="128">COUNTIF(J67, "&lt;30")</f>
        <v>1</v>
      </c>
      <c r="Q67" s="33">
        <f t="shared" ca="1" si="128"/>
        <v>1</v>
      </c>
      <c r="R67" s="33">
        <f t="shared" ca="1" si="128"/>
        <v>1</v>
      </c>
      <c r="S67" s="33">
        <f t="shared" ca="1" si="128"/>
        <v>1</v>
      </c>
      <c r="T67" s="33">
        <f t="shared" ca="1" si="128"/>
        <v>0</v>
      </c>
      <c r="U67" s="34">
        <f t="shared" ca="1" si="2"/>
        <v>4</v>
      </c>
      <c r="W67" s="3" t="s">
        <v>136</v>
      </c>
      <c r="X67" s="71">
        <v>3</v>
      </c>
    </row>
    <row r="68" spans="1:24" ht="17.399999999999999">
      <c r="A68" s="3">
        <v>65</v>
      </c>
      <c r="B68" s="3" t="s">
        <v>134</v>
      </c>
      <c r="C68" s="140"/>
      <c r="D68" s="140"/>
      <c r="E68" s="28">
        <v>45927</v>
      </c>
      <c r="F68" s="28">
        <v>45927</v>
      </c>
      <c r="G68" s="28"/>
      <c r="H68" s="28">
        <v>45862</v>
      </c>
      <c r="I68" s="28"/>
      <c r="J68" s="32">
        <f t="shared" ref="J68:N68" ca="1" si="129">IF(OR($W$1="",E68=""),"",E68-$W$1)</f>
        <v>-370</v>
      </c>
      <c r="K68" s="32">
        <f t="shared" ca="1" si="129"/>
        <v>-370</v>
      </c>
      <c r="L68" s="32" t="str">
        <f t="shared" ca="1" si="129"/>
        <v/>
      </c>
      <c r="M68" s="32">
        <f t="shared" ca="1" si="129"/>
        <v>-435</v>
      </c>
      <c r="N68" s="32" t="str">
        <f t="shared" ca="1" si="129"/>
        <v/>
      </c>
      <c r="O68" s="195"/>
      <c r="P68" s="33">
        <f t="shared" ref="P68:T68" ca="1" si="130">COUNTIF(J68, "&lt;30")</f>
        <v>1</v>
      </c>
      <c r="Q68" s="33">
        <f t="shared" ca="1" si="130"/>
        <v>1</v>
      </c>
      <c r="R68" s="33">
        <f t="shared" ca="1" si="130"/>
        <v>0</v>
      </c>
      <c r="S68" s="33">
        <f t="shared" ca="1" si="130"/>
        <v>1</v>
      </c>
      <c r="T68" s="33">
        <f t="shared" ca="1" si="130"/>
        <v>0</v>
      </c>
      <c r="U68" s="34">
        <f t="shared" ca="1" si="2"/>
        <v>3</v>
      </c>
      <c r="W68" s="3" t="s">
        <v>134</v>
      </c>
      <c r="X68" s="71">
        <v>1</v>
      </c>
    </row>
    <row r="69" spans="1:24" ht="17.399999999999999">
      <c r="A69" s="3">
        <v>66</v>
      </c>
      <c r="B69" s="3" t="s">
        <v>139</v>
      </c>
      <c r="C69" s="22" t="s">
        <v>209</v>
      </c>
      <c r="D69" s="22"/>
      <c r="E69" s="28">
        <v>46005</v>
      </c>
      <c r="F69" s="28">
        <v>46005</v>
      </c>
      <c r="G69" s="28">
        <v>46005</v>
      </c>
      <c r="H69" s="28">
        <v>46005</v>
      </c>
      <c r="I69" s="28"/>
      <c r="J69" s="32">
        <f t="shared" ref="J69:N69" ca="1" si="131">IF(OR($W$1="",E69=""),"",E69-$W$1)</f>
        <v>-292</v>
      </c>
      <c r="K69" s="32">
        <f t="shared" ca="1" si="131"/>
        <v>-292</v>
      </c>
      <c r="L69" s="32">
        <f t="shared" ca="1" si="131"/>
        <v>-292</v>
      </c>
      <c r="M69" s="32">
        <f t="shared" ca="1" si="131"/>
        <v>-292</v>
      </c>
      <c r="N69" s="32" t="str">
        <f t="shared" ca="1" si="131"/>
        <v/>
      </c>
      <c r="O69" s="195"/>
      <c r="P69" s="33">
        <f t="shared" ref="P69:T69" ca="1" si="132">COUNTIF(J69, "&lt;30")</f>
        <v>1</v>
      </c>
      <c r="Q69" s="33">
        <f t="shared" ca="1" si="132"/>
        <v>1</v>
      </c>
      <c r="R69" s="33">
        <f t="shared" ca="1" si="132"/>
        <v>1</v>
      </c>
      <c r="S69" s="33">
        <f t="shared" ca="1" si="132"/>
        <v>1</v>
      </c>
      <c r="T69" s="33">
        <f t="shared" ca="1" si="132"/>
        <v>0</v>
      </c>
      <c r="U69" s="34">
        <f t="shared" ca="1" si="2"/>
        <v>4</v>
      </c>
      <c r="W69" s="3" t="s">
        <v>139</v>
      </c>
      <c r="X69" s="71">
        <v>0</v>
      </c>
    </row>
    <row r="70" spans="1:24" ht="17.399999999999999">
      <c r="A70" s="3">
        <v>67</v>
      </c>
      <c r="B70" s="3" t="s">
        <v>138</v>
      </c>
      <c r="C70" s="22" t="s">
        <v>209</v>
      </c>
      <c r="D70" s="22"/>
      <c r="E70" s="28"/>
      <c r="F70" s="28"/>
      <c r="G70" s="28"/>
      <c r="H70" s="28"/>
      <c r="I70" s="28"/>
      <c r="J70" s="32" t="str">
        <f t="shared" ref="J70:N70" ca="1" si="133">IF(OR($W$1="",E70=""),"",E70-$W$1)</f>
        <v/>
      </c>
      <c r="K70" s="32" t="str">
        <f t="shared" ca="1" si="133"/>
        <v/>
      </c>
      <c r="L70" s="32" t="str">
        <f t="shared" ca="1" si="133"/>
        <v/>
      </c>
      <c r="M70" s="32" t="str">
        <f t="shared" ca="1" si="133"/>
        <v/>
      </c>
      <c r="N70" s="32" t="str">
        <f t="shared" ca="1" si="133"/>
        <v/>
      </c>
      <c r="O70" s="195"/>
      <c r="P70" s="33">
        <f t="shared" ref="P70:T70" ca="1" si="134">COUNTIF(J70, "&lt;30")</f>
        <v>0</v>
      </c>
      <c r="Q70" s="33">
        <f t="shared" ca="1" si="134"/>
        <v>0</v>
      </c>
      <c r="R70" s="33">
        <f t="shared" ca="1" si="134"/>
        <v>0</v>
      </c>
      <c r="S70" s="33">
        <f t="shared" ca="1" si="134"/>
        <v>0</v>
      </c>
      <c r="T70" s="33">
        <f t="shared" ca="1" si="134"/>
        <v>0</v>
      </c>
      <c r="U70" s="34">
        <f t="shared" ca="1" si="2"/>
        <v>0</v>
      </c>
      <c r="W70" s="3" t="s">
        <v>138</v>
      </c>
      <c r="X70" s="71">
        <v>0</v>
      </c>
    </row>
    <row r="71" spans="1:24" ht="17.399999999999999">
      <c r="A71" s="3">
        <v>68</v>
      </c>
      <c r="B71" s="3" t="s">
        <v>142</v>
      </c>
      <c r="C71" s="140"/>
      <c r="D71" s="140"/>
      <c r="E71" s="28"/>
      <c r="F71" s="28"/>
      <c r="G71" s="28"/>
      <c r="H71" s="28"/>
      <c r="I71" s="28"/>
      <c r="J71" s="32" t="str">
        <f t="shared" ref="J71:N71" ca="1" si="135">IF(OR($W$1="",E71=""),"",E71-$W$1)</f>
        <v/>
      </c>
      <c r="K71" s="32" t="str">
        <f t="shared" ca="1" si="135"/>
        <v/>
      </c>
      <c r="L71" s="32" t="str">
        <f t="shared" ca="1" si="135"/>
        <v/>
      </c>
      <c r="M71" s="32" t="str">
        <f t="shared" ca="1" si="135"/>
        <v/>
      </c>
      <c r="N71" s="32" t="str">
        <f t="shared" ca="1" si="135"/>
        <v/>
      </c>
      <c r="O71" s="195"/>
      <c r="P71" s="33">
        <f t="shared" ref="P71:T71" ca="1" si="136">COUNTIF(J71, "&lt;30")</f>
        <v>0</v>
      </c>
      <c r="Q71" s="33">
        <f t="shared" ca="1" si="136"/>
        <v>0</v>
      </c>
      <c r="R71" s="33">
        <f t="shared" ca="1" si="136"/>
        <v>0</v>
      </c>
      <c r="S71" s="33">
        <f t="shared" ca="1" si="136"/>
        <v>0</v>
      </c>
      <c r="T71" s="33">
        <f t="shared" ca="1" si="136"/>
        <v>0</v>
      </c>
      <c r="U71" s="34">
        <f t="shared" ca="1" si="2"/>
        <v>0</v>
      </c>
      <c r="W71" s="3" t="s">
        <v>142</v>
      </c>
      <c r="X71" s="71">
        <v>0</v>
      </c>
    </row>
    <row r="72" spans="1:24" ht="17.399999999999999">
      <c r="A72" s="3">
        <v>69</v>
      </c>
      <c r="B72" s="3" t="s">
        <v>143</v>
      </c>
      <c r="C72" s="140"/>
      <c r="D72" s="140"/>
      <c r="E72" s="28">
        <v>45822</v>
      </c>
      <c r="F72" s="28">
        <v>45822</v>
      </c>
      <c r="G72" s="28">
        <v>45822</v>
      </c>
      <c r="H72" s="28">
        <v>45822</v>
      </c>
      <c r="I72" s="28"/>
      <c r="J72" s="32">
        <f t="shared" ref="J72:N72" ca="1" si="137">IF(OR($W$1="",E72=""),"",E72-$W$1)</f>
        <v>-475</v>
      </c>
      <c r="K72" s="32">
        <f t="shared" ca="1" si="137"/>
        <v>-475</v>
      </c>
      <c r="L72" s="32">
        <f t="shared" ca="1" si="137"/>
        <v>-475</v>
      </c>
      <c r="M72" s="32">
        <f t="shared" ca="1" si="137"/>
        <v>-475</v>
      </c>
      <c r="N72" s="32" t="str">
        <f t="shared" ca="1" si="137"/>
        <v/>
      </c>
      <c r="O72" s="195"/>
      <c r="P72" s="33">
        <f t="shared" ref="P72:T72" ca="1" si="138">COUNTIF(J72, "&lt;30")</f>
        <v>1</v>
      </c>
      <c r="Q72" s="33">
        <f t="shared" ca="1" si="138"/>
        <v>1</v>
      </c>
      <c r="R72" s="33">
        <f t="shared" ca="1" si="138"/>
        <v>1</v>
      </c>
      <c r="S72" s="33">
        <f t="shared" ca="1" si="138"/>
        <v>1</v>
      </c>
      <c r="T72" s="33">
        <f t="shared" ca="1" si="138"/>
        <v>0</v>
      </c>
      <c r="U72" s="34">
        <f t="shared" ca="1" si="2"/>
        <v>4</v>
      </c>
      <c r="W72" s="3" t="s">
        <v>143</v>
      </c>
      <c r="X72" s="71">
        <v>4</v>
      </c>
    </row>
    <row r="73" spans="1:24" ht="17.399999999999999">
      <c r="A73" s="3">
        <v>70</v>
      </c>
      <c r="B73" s="3" t="s">
        <v>140</v>
      </c>
      <c r="C73" s="140"/>
      <c r="D73" s="140"/>
      <c r="E73" s="28">
        <v>45822</v>
      </c>
      <c r="F73" s="28">
        <v>45822</v>
      </c>
      <c r="G73" s="28">
        <v>45978</v>
      </c>
      <c r="H73" s="28"/>
      <c r="I73" s="28"/>
      <c r="J73" s="32">
        <f t="shared" ref="J73:N73" ca="1" si="139">IF(OR($W$1="",E73=""),"",E73-$W$1)</f>
        <v>-475</v>
      </c>
      <c r="K73" s="32">
        <f t="shared" ca="1" si="139"/>
        <v>-475</v>
      </c>
      <c r="L73" s="32">
        <f t="shared" ca="1" si="139"/>
        <v>-319</v>
      </c>
      <c r="M73" s="32" t="str">
        <f t="shared" ca="1" si="139"/>
        <v/>
      </c>
      <c r="N73" s="32" t="str">
        <f t="shared" ca="1" si="139"/>
        <v/>
      </c>
      <c r="O73" s="195"/>
      <c r="P73" s="33">
        <f t="shared" ref="P73:T73" ca="1" si="140">COUNTIF(J73, "&lt;30")</f>
        <v>1</v>
      </c>
      <c r="Q73" s="33">
        <f t="shared" ca="1" si="140"/>
        <v>1</v>
      </c>
      <c r="R73" s="33">
        <f t="shared" ca="1" si="140"/>
        <v>1</v>
      </c>
      <c r="S73" s="33">
        <f t="shared" ca="1" si="140"/>
        <v>0</v>
      </c>
      <c r="T73" s="33">
        <f t="shared" ca="1" si="140"/>
        <v>0</v>
      </c>
      <c r="U73" s="34">
        <f t="shared" ca="1" si="2"/>
        <v>3</v>
      </c>
      <c r="W73" s="3" t="s">
        <v>140</v>
      </c>
      <c r="X73" s="71">
        <v>2</v>
      </c>
    </row>
    <row r="74" spans="1:24" ht="17.399999999999999">
      <c r="A74" s="3">
        <v>71</v>
      </c>
      <c r="B74" s="3" t="s">
        <v>132</v>
      </c>
      <c r="C74" s="140"/>
      <c r="D74" s="140"/>
      <c r="E74" s="28">
        <v>45890</v>
      </c>
      <c r="F74" s="28">
        <v>45890</v>
      </c>
      <c r="G74" s="28">
        <v>45890</v>
      </c>
      <c r="H74" s="28">
        <v>45890</v>
      </c>
      <c r="I74" s="28"/>
      <c r="J74" s="32">
        <f t="shared" ref="J74:N74" ca="1" si="141">IF(OR($W$1="",E74=""),"",E74-$W$1)</f>
        <v>-407</v>
      </c>
      <c r="K74" s="32">
        <f t="shared" ca="1" si="141"/>
        <v>-407</v>
      </c>
      <c r="L74" s="32">
        <f t="shared" ca="1" si="141"/>
        <v>-407</v>
      </c>
      <c r="M74" s="32">
        <f t="shared" ca="1" si="141"/>
        <v>-407</v>
      </c>
      <c r="N74" s="32" t="str">
        <f t="shared" ca="1" si="141"/>
        <v/>
      </c>
      <c r="O74" s="195"/>
      <c r="P74" s="33">
        <f t="shared" ref="P74:T74" ca="1" si="142">COUNTIF(J74, "&lt;30")</f>
        <v>1</v>
      </c>
      <c r="Q74" s="33">
        <f t="shared" ca="1" si="142"/>
        <v>1</v>
      </c>
      <c r="R74" s="33">
        <f t="shared" ca="1" si="142"/>
        <v>1</v>
      </c>
      <c r="S74" s="33">
        <f t="shared" ca="1" si="142"/>
        <v>1</v>
      </c>
      <c r="T74" s="33">
        <f t="shared" ca="1" si="142"/>
        <v>0</v>
      </c>
      <c r="U74" s="34">
        <f t="shared" ca="1" si="2"/>
        <v>4</v>
      </c>
      <c r="W74" s="3" t="s">
        <v>132</v>
      </c>
      <c r="X74" s="71">
        <v>0</v>
      </c>
    </row>
    <row r="75" spans="1:24" ht="17.399999999999999">
      <c r="A75" s="3">
        <v>72</v>
      </c>
      <c r="B75" s="3" t="s">
        <v>113</v>
      </c>
      <c r="C75" s="140"/>
      <c r="D75" s="140"/>
      <c r="E75" s="28">
        <v>45868</v>
      </c>
      <c r="F75" s="28">
        <v>45868</v>
      </c>
      <c r="G75" s="28">
        <v>45978</v>
      </c>
      <c r="H75" s="28">
        <v>45978</v>
      </c>
      <c r="I75" s="28"/>
      <c r="J75" s="32">
        <f t="shared" ref="J75:N75" ca="1" si="143">IF(OR($W$1="",E75=""),"",E75-$W$1)</f>
        <v>-429</v>
      </c>
      <c r="K75" s="32">
        <f t="shared" ca="1" si="143"/>
        <v>-429</v>
      </c>
      <c r="L75" s="32">
        <f t="shared" ca="1" si="143"/>
        <v>-319</v>
      </c>
      <c r="M75" s="32">
        <f t="shared" ca="1" si="143"/>
        <v>-319</v>
      </c>
      <c r="N75" s="32" t="str">
        <f t="shared" ca="1" si="143"/>
        <v/>
      </c>
      <c r="O75" s="195"/>
      <c r="P75" s="33">
        <f t="shared" ref="P75:T75" ca="1" si="144">COUNTIF(J75, "&lt;30")</f>
        <v>1</v>
      </c>
      <c r="Q75" s="33">
        <f t="shared" ca="1" si="144"/>
        <v>1</v>
      </c>
      <c r="R75" s="33">
        <f t="shared" ca="1" si="144"/>
        <v>1</v>
      </c>
      <c r="S75" s="33">
        <f t="shared" ca="1" si="144"/>
        <v>1</v>
      </c>
      <c r="T75" s="33">
        <f t="shared" ca="1" si="144"/>
        <v>0</v>
      </c>
      <c r="U75" s="34">
        <f t="shared" ca="1" si="2"/>
        <v>4</v>
      </c>
      <c r="W75" s="3" t="s">
        <v>113</v>
      </c>
      <c r="X75" s="71">
        <v>2</v>
      </c>
    </row>
    <row r="76" spans="1:24" ht="17.399999999999999">
      <c r="A76" s="3">
        <v>73</v>
      </c>
      <c r="B76" s="3" t="s">
        <v>111</v>
      </c>
      <c r="C76" s="140"/>
      <c r="D76" s="140"/>
      <c r="E76" s="28">
        <v>45863</v>
      </c>
      <c r="F76" s="28">
        <v>45863</v>
      </c>
      <c r="G76" s="28">
        <v>45863</v>
      </c>
      <c r="H76" s="28">
        <v>45863</v>
      </c>
      <c r="I76" s="28"/>
      <c r="J76" s="32">
        <f t="shared" ref="J76:N76" ca="1" si="145">IF(OR($W$1="",E76=""),"",E76-$W$1)</f>
        <v>-434</v>
      </c>
      <c r="K76" s="32">
        <f t="shared" ca="1" si="145"/>
        <v>-434</v>
      </c>
      <c r="L76" s="32">
        <f t="shared" ca="1" si="145"/>
        <v>-434</v>
      </c>
      <c r="M76" s="32">
        <f t="shared" ca="1" si="145"/>
        <v>-434</v>
      </c>
      <c r="N76" s="32" t="str">
        <f t="shared" ca="1" si="145"/>
        <v/>
      </c>
      <c r="O76" s="195"/>
      <c r="P76" s="33">
        <f t="shared" ref="P76:T76" ca="1" si="146">COUNTIF(J76, "&lt;30")</f>
        <v>1</v>
      </c>
      <c r="Q76" s="33">
        <f t="shared" ca="1" si="146"/>
        <v>1</v>
      </c>
      <c r="R76" s="33">
        <f t="shared" ca="1" si="146"/>
        <v>1</v>
      </c>
      <c r="S76" s="33">
        <f t="shared" ca="1" si="146"/>
        <v>1</v>
      </c>
      <c r="T76" s="33">
        <f t="shared" ca="1" si="146"/>
        <v>0</v>
      </c>
      <c r="U76" s="34">
        <f t="shared" ca="1" si="2"/>
        <v>4</v>
      </c>
      <c r="W76" s="3" t="s">
        <v>111</v>
      </c>
      <c r="X76" s="71">
        <v>4</v>
      </c>
    </row>
    <row r="77" spans="1:24" ht="17.399999999999999">
      <c r="A77" s="3">
        <v>74</v>
      </c>
      <c r="B77" s="3" t="s">
        <v>114</v>
      </c>
      <c r="C77" s="140"/>
      <c r="D77" s="140"/>
      <c r="E77" s="28">
        <v>46023</v>
      </c>
      <c r="F77" s="28">
        <v>46023</v>
      </c>
      <c r="G77" s="28">
        <v>46023</v>
      </c>
      <c r="H77" s="28">
        <v>46023</v>
      </c>
      <c r="I77" s="28"/>
      <c r="J77" s="32">
        <f t="shared" ref="J77:N77" ca="1" si="147">IF(OR($W$1="",E77=""),"",E77-$W$1)</f>
        <v>-274</v>
      </c>
      <c r="K77" s="32">
        <f t="shared" ca="1" si="147"/>
        <v>-274</v>
      </c>
      <c r="L77" s="32">
        <f t="shared" ca="1" si="147"/>
        <v>-274</v>
      </c>
      <c r="M77" s="32">
        <f t="shared" ca="1" si="147"/>
        <v>-274</v>
      </c>
      <c r="N77" s="32" t="str">
        <f t="shared" ca="1" si="147"/>
        <v/>
      </c>
      <c r="O77" s="195"/>
      <c r="P77" s="33">
        <f t="shared" ref="P77:T77" ca="1" si="148">COUNTIF(J77, "&lt;30")</f>
        <v>1</v>
      </c>
      <c r="Q77" s="33">
        <f t="shared" ca="1" si="148"/>
        <v>1</v>
      </c>
      <c r="R77" s="33">
        <f t="shared" ca="1" si="148"/>
        <v>1</v>
      </c>
      <c r="S77" s="33">
        <f t="shared" ca="1" si="148"/>
        <v>1</v>
      </c>
      <c r="T77" s="33">
        <f t="shared" ca="1" si="148"/>
        <v>0</v>
      </c>
      <c r="U77" s="34">
        <f t="shared" ca="1" si="2"/>
        <v>4</v>
      </c>
      <c r="W77" s="3" t="s">
        <v>114</v>
      </c>
      <c r="X77" s="71">
        <v>0</v>
      </c>
    </row>
    <row r="78" spans="1:24" ht="17.399999999999999">
      <c r="A78" s="3">
        <v>75</v>
      </c>
      <c r="B78" s="3" t="s">
        <v>42</v>
      </c>
      <c r="C78" s="22" t="s">
        <v>215</v>
      </c>
      <c r="D78" s="22"/>
      <c r="E78" s="28">
        <v>45889</v>
      </c>
      <c r="F78" s="28">
        <v>45889</v>
      </c>
      <c r="G78" s="28"/>
      <c r="H78" s="28"/>
      <c r="I78" s="28">
        <v>45978</v>
      </c>
      <c r="J78" s="32">
        <f t="shared" ref="J78:N78" ca="1" si="149">IF(OR($W$1="",E78=""),"",E78-$W$1)</f>
        <v>-408</v>
      </c>
      <c r="K78" s="32">
        <f t="shared" ca="1" si="149"/>
        <v>-408</v>
      </c>
      <c r="L78" s="32" t="str">
        <f t="shared" ca="1" si="149"/>
        <v/>
      </c>
      <c r="M78" s="32" t="str">
        <f t="shared" ca="1" si="149"/>
        <v/>
      </c>
      <c r="N78" s="32">
        <f t="shared" ca="1" si="149"/>
        <v>-319</v>
      </c>
      <c r="O78" s="195"/>
      <c r="P78" s="33">
        <f t="shared" ref="P78:T78" ca="1" si="150">COUNTIF(J78, "&lt;30")</f>
        <v>1</v>
      </c>
      <c r="Q78" s="33">
        <f t="shared" ca="1" si="150"/>
        <v>1</v>
      </c>
      <c r="R78" s="33">
        <f t="shared" ca="1" si="150"/>
        <v>0</v>
      </c>
      <c r="S78" s="33">
        <f t="shared" ca="1" si="150"/>
        <v>0</v>
      </c>
      <c r="T78" s="33">
        <f t="shared" ca="1" si="150"/>
        <v>1</v>
      </c>
      <c r="U78" s="34">
        <f t="shared" ca="1" si="2"/>
        <v>3</v>
      </c>
      <c r="W78" s="3" t="s">
        <v>42</v>
      </c>
      <c r="X78" s="71">
        <v>0</v>
      </c>
    </row>
    <row r="79" spans="1:24" ht="17.399999999999999">
      <c r="A79" s="3">
        <v>76</v>
      </c>
      <c r="B79" s="3" t="s">
        <v>44</v>
      </c>
      <c r="C79" s="22" t="s">
        <v>218</v>
      </c>
      <c r="D79" s="22"/>
      <c r="E79" s="28">
        <v>45879</v>
      </c>
      <c r="F79" s="28">
        <v>45879</v>
      </c>
      <c r="G79" s="28">
        <v>45879</v>
      </c>
      <c r="H79" s="28">
        <v>45879</v>
      </c>
      <c r="I79" s="28"/>
      <c r="J79" s="32">
        <f t="shared" ref="J79:N79" ca="1" si="151">IF(OR($W$1="",E79=""),"",E79-$W$1)</f>
        <v>-418</v>
      </c>
      <c r="K79" s="32">
        <f t="shared" ca="1" si="151"/>
        <v>-418</v>
      </c>
      <c r="L79" s="32">
        <f t="shared" ca="1" si="151"/>
        <v>-418</v>
      </c>
      <c r="M79" s="32">
        <f t="shared" ca="1" si="151"/>
        <v>-418</v>
      </c>
      <c r="N79" s="32" t="str">
        <f t="shared" ca="1" si="151"/>
        <v/>
      </c>
      <c r="O79" s="195"/>
      <c r="P79" s="33">
        <f t="shared" ref="P79:T79" ca="1" si="152">COUNTIF(J79, "&lt;30")</f>
        <v>1</v>
      </c>
      <c r="Q79" s="33">
        <f t="shared" ca="1" si="152"/>
        <v>1</v>
      </c>
      <c r="R79" s="33">
        <f t="shared" ca="1" si="152"/>
        <v>1</v>
      </c>
      <c r="S79" s="33">
        <f t="shared" ca="1" si="152"/>
        <v>1</v>
      </c>
      <c r="T79" s="33">
        <f t="shared" ca="1" si="152"/>
        <v>0</v>
      </c>
      <c r="U79" s="34">
        <f t="shared" ca="1" si="2"/>
        <v>4</v>
      </c>
      <c r="W79" s="3" t="s">
        <v>44</v>
      </c>
      <c r="X79" s="71">
        <v>0</v>
      </c>
    </row>
    <row r="80" spans="1:24" ht="17.399999999999999">
      <c r="A80" s="3">
        <v>77</v>
      </c>
      <c r="B80" s="3" t="s">
        <v>116</v>
      </c>
      <c r="C80" s="22" t="s">
        <v>117</v>
      </c>
      <c r="D80" s="22"/>
      <c r="E80" s="28">
        <v>45889</v>
      </c>
      <c r="F80" s="28">
        <v>45889</v>
      </c>
      <c r="G80" s="28">
        <v>45889</v>
      </c>
      <c r="H80" s="28">
        <v>45889</v>
      </c>
      <c r="I80" s="28">
        <v>45889</v>
      </c>
      <c r="J80" s="32">
        <f t="shared" ref="J80:N80" ca="1" si="153">IF(OR($W$1="",E80=""),"",E80-$W$1)</f>
        <v>-408</v>
      </c>
      <c r="K80" s="32">
        <f t="shared" ca="1" si="153"/>
        <v>-408</v>
      </c>
      <c r="L80" s="32">
        <f t="shared" ca="1" si="153"/>
        <v>-408</v>
      </c>
      <c r="M80" s="32">
        <f t="shared" ca="1" si="153"/>
        <v>-408</v>
      </c>
      <c r="N80" s="32">
        <f t="shared" ca="1" si="153"/>
        <v>-408</v>
      </c>
      <c r="O80" s="195"/>
      <c r="P80" s="33">
        <f t="shared" ref="P80:T80" ca="1" si="154">COUNTIF(J80, "&lt;30")</f>
        <v>1</v>
      </c>
      <c r="Q80" s="33">
        <f t="shared" ca="1" si="154"/>
        <v>1</v>
      </c>
      <c r="R80" s="33">
        <f t="shared" ca="1" si="154"/>
        <v>1</v>
      </c>
      <c r="S80" s="33">
        <f t="shared" ca="1" si="154"/>
        <v>1</v>
      </c>
      <c r="T80" s="33">
        <f t="shared" ca="1" si="154"/>
        <v>1</v>
      </c>
      <c r="U80" s="34">
        <f t="shared" ca="1" si="2"/>
        <v>5</v>
      </c>
      <c r="W80" s="3" t="s">
        <v>116</v>
      </c>
      <c r="X80" s="71">
        <v>0</v>
      </c>
    </row>
    <row r="81" spans="1:24" ht="17.399999999999999">
      <c r="A81" s="3">
        <v>78</v>
      </c>
      <c r="B81" s="3" t="s">
        <v>161</v>
      </c>
      <c r="C81" s="22" t="s">
        <v>61</v>
      </c>
      <c r="D81" s="22"/>
      <c r="E81" s="28">
        <v>45912</v>
      </c>
      <c r="F81" s="28">
        <v>45912</v>
      </c>
      <c r="G81" s="28"/>
      <c r="H81" s="28"/>
      <c r="I81" s="28">
        <v>45912</v>
      </c>
      <c r="J81" s="32">
        <f t="shared" ref="J81:N81" ca="1" si="155">IF(OR($W$1="",E81=""),"",E81-$W$1)</f>
        <v>-385</v>
      </c>
      <c r="K81" s="32">
        <f t="shared" ca="1" si="155"/>
        <v>-385</v>
      </c>
      <c r="L81" s="32" t="str">
        <f t="shared" ca="1" si="155"/>
        <v/>
      </c>
      <c r="M81" s="32" t="str">
        <f t="shared" ca="1" si="155"/>
        <v/>
      </c>
      <c r="N81" s="32">
        <f t="shared" ca="1" si="155"/>
        <v>-385</v>
      </c>
      <c r="O81" s="195"/>
      <c r="P81" s="33">
        <f t="shared" ref="P81:T81" ca="1" si="156">COUNTIF(J81, "&lt;30")</f>
        <v>1</v>
      </c>
      <c r="Q81" s="33">
        <f t="shared" ca="1" si="156"/>
        <v>1</v>
      </c>
      <c r="R81" s="33">
        <f t="shared" ca="1" si="156"/>
        <v>0</v>
      </c>
      <c r="S81" s="33">
        <f t="shared" ca="1" si="156"/>
        <v>0</v>
      </c>
      <c r="T81" s="33">
        <f t="shared" ca="1" si="156"/>
        <v>1</v>
      </c>
      <c r="U81" s="34">
        <f t="shared" ca="1" si="2"/>
        <v>3</v>
      </c>
      <c r="W81" s="3" t="s">
        <v>161</v>
      </c>
      <c r="X81" s="71">
        <v>0</v>
      </c>
    </row>
    <row r="82" spans="1:24" ht="17.399999999999999">
      <c r="A82" s="3">
        <v>79</v>
      </c>
      <c r="B82" s="36" t="s">
        <v>164</v>
      </c>
      <c r="C82" s="86" t="s">
        <v>61</v>
      </c>
      <c r="D82" s="86"/>
      <c r="E82" s="28">
        <v>45889</v>
      </c>
      <c r="F82" s="28">
        <v>45889</v>
      </c>
      <c r="G82" s="28">
        <v>45978</v>
      </c>
      <c r="H82" s="28">
        <v>45978</v>
      </c>
      <c r="I82" s="29"/>
      <c r="J82" s="32">
        <f t="shared" ref="J82:N82" ca="1" si="157">IF(OR($W$1="",E82=""),"",E82-$W$1)</f>
        <v>-408</v>
      </c>
      <c r="K82" s="32">
        <f t="shared" ca="1" si="157"/>
        <v>-408</v>
      </c>
      <c r="L82" s="32">
        <f t="shared" ca="1" si="157"/>
        <v>-319</v>
      </c>
      <c r="M82" s="32">
        <f t="shared" ca="1" si="157"/>
        <v>-319</v>
      </c>
      <c r="N82" s="32" t="str">
        <f t="shared" ca="1" si="157"/>
        <v/>
      </c>
      <c r="O82" s="195"/>
      <c r="P82" s="33">
        <f t="shared" ref="P82:T82" ca="1" si="158">COUNTIF(J82, "&lt;30")</f>
        <v>1</v>
      </c>
      <c r="Q82" s="33">
        <f t="shared" ca="1" si="158"/>
        <v>1</v>
      </c>
      <c r="R82" s="33">
        <f t="shared" ca="1" si="158"/>
        <v>1</v>
      </c>
      <c r="S82" s="33">
        <f t="shared" ca="1" si="158"/>
        <v>1</v>
      </c>
      <c r="T82" s="33">
        <f t="shared" ca="1" si="158"/>
        <v>0</v>
      </c>
      <c r="U82" s="34">
        <f t="shared" ca="1" si="2"/>
        <v>4</v>
      </c>
      <c r="W82" s="36" t="s">
        <v>164</v>
      </c>
      <c r="X82" s="71">
        <v>0</v>
      </c>
    </row>
    <row r="83" spans="1:24" ht="17.399999999999999">
      <c r="A83" s="3">
        <v>80</v>
      </c>
      <c r="B83" s="36" t="s">
        <v>129</v>
      </c>
      <c r="C83" s="22" t="s">
        <v>130</v>
      </c>
      <c r="D83" s="86"/>
      <c r="E83" s="28">
        <v>46433</v>
      </c>
      <c r="F83" s="28">
        <v>46433</v>
      </c>
      <c r="G83" s="28">
        <v>46433</v>
      </c>
      <c r="H83" s="28">
        <v>46433</v>
      </c>
      <c r="I83" s="29"/>
      <c r="J83" s="32">
        <f t="shared" ref="J83:N83" ca="1" si="159">IF(OR($W$1="",E83=""),"",E83-$W$1)</f>
        <v>136</v>
      </c>
      <c r="K83" s="32">
        <f t="shared" ca="1" si="159"/>
        <v>136</v>
      </c>
      <c r="L83" s="32">
        <f t="shared" ca="1" si="159"/>
        <v>136</v>
      </c>
      <c r="M83" s="32">
        <f t="shared" ca="1" si="159"/>
        <v>136</v>
      </c>
      <c r="N83" s="32" t="str">
        <f t="shared" ca="1" si="159"/>
        <v/>
      </c>
      <c r="O83" s="182"/>
      <c r="P83" s="33">
        <f t="shared" ref="P83:T83" ca="1" si="160">COUNTIF(J83, "&lt;30")</f>
        <v>0</v>
      </c>
      <c r="Q83" s="33">
        <f t="shared" ca="1" si="160"/>
        <v>0</v>
      </c>
      <c r="R83" s="33">
        <f t="shared" ca="1" si="160"/>
        <v>0</v>
      </c>
      <c r="S83" s="33">
        <f t="shared" ca="1" si="160"/>
        <v>0</v>
      </c>
      <c r="T83" s="33">
        <f t="shared" ca="1" si="160"/>
        <v>0</v>
      </c>
      <c r="U83" s="34">
        <f t="shared" ca="1" si="2"/>
        <v>0</v>
      </c>
      <c r="W83" s="36" t="s">
        <v>129</v>
      </c>
      <c r="X83" s="71">
        <v>0</v>
      </c>
    </row>
    <row r="84" spans="1:24" ht="13.2">
      <c r="J84" s="33">
        <f t="shared" ref="J84:N84" ca="1" si="161">COUNTIF(J4:J83, "&lt;30")</f>
        <v>65</v>
      </c>
      <c r="K84" s="33">
        <f t="shared" ca="1" si="161"/>
        <v>65</v>
      </c>
      <c r="L84" s="33">
        <f t="shared" ca="1" si="161"/>
        <v>28</v>
      </c>
      <c r="M84" s="33">
        <f t="shared" ca="1" si="161"/>
        <v>61</v>
      </c>
      <c r="N84" s="33">
        <f t="shared" ca="1" si="161"/>
        <v>35</v>
      </c>
    </row>
    <row r="85" spans="1:24" ht="13.2">
      <c r="J85" s="213">
        <f ca="1">SUM(J84:K84)</f>
        <v>130</v>
      </c>
      <c r="K85" s="199"/>
      <c r="L85" s="33"/>
      <c r="M85" s="33"/>
      <c r="N85" s="33"/>
    </row>
    <row r="95" spans="1:24" ht="13.2">
      <c r="H95" s="44"/>
      <c r="I95" s="44"/>
      <c r="J95" s="44"/>
    </row>
  </sheetData>
  <mergeCells count="26">
    <mergeCell ref="J85:K85"/>
    <mergeCell ref="M2:M3"/>
    <mergeCell ref="N2:N3"/>
    <mergeCell ref="O2:O3"/>
    <mergeCell ref="P2:P3"/>
    <mergeCell ref="O4:O83"/>
    <mergeCell ref="A2:A3"/>
    <mergeCell ref="B2:B3"/>
    <mergeCell ref="C2:C3"/>
    <mergeCell ref="D2:D3"/>
    <mergeCell ref="U2:U3"/>
    <mergeCell ref="E2:E3"/>
    <mergeCell ref="F2:F3"/>
    <mergeCell ref="G2:G3"/>
    <mergeCell ref="H2:H3"/>
    <mergeCell ref="I2:I3"/>
    <mergeCell ref="J2:J3"/>
    <mergeCell ref="K2:K3"/>
    <mergeCell ref="L2:L3"/>
    <mergeCell ref="Q2:Q3"/>
    <mergeCell ref="R2:R3"/>
    <mergeCell ref="S2:S3"/>
    <mergeCell ref="T2:T3"/>
    <mergeCell ref="E1:I1"/>
    <mergeCell ref="J1:N1"/>
    <mergeCell ref="P1:U1"/>
  </mergeCells>
  <conditionalFormatting sqref="J4:N83">
    <cfRule type="colorScale" priority="1">
      <colorScale>
        <cfvo type="formula" val="30"/>
        <cfvo type="formula" val="40"/>
        <cfvo type="formula" val="50"/>
        <color rgb="FFFF0000"/>
        <color rgb="FFFFD666"/>
        <color rgb="FF00FF00"/>
      </colorScale>
    </cfRule>
  </conditionalFormatting>
  <conditionalFormatting sqref="O4:T83">
    <cfRule type="colorScale" priority="2">
      <colorScale>
        <cfvo type="formula" val="0"/>
        <cfvo type="formula" val="1"/>
        <cfvo type="formula" val="1"/>
        <color rgb="FFFFFFFF"/>
        <color rgb="FFABDDC5"/>
        <color rgb="FFFF00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79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6.109375" customWidth="1"/>
    <col min="3" max="3" width="25" customWidth="1"/>
    <col min="14" max="14" width="21.77734375" customWidth="1"/>
    <col min="15" max="15" width="13.6640625" customWidth="1"/>
    <col min="16" max="16" width="23.77734375" customWidth="1"/>
    <col min="22" max="22" width="23" customWidth="1"/>
  </cols>
  <sheetData>
    <row r="1" spans="1:22" ht="63" customHeight="1">
      <c r="A1" s="219" t="s">
        <v>192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</row>
    <row r="2" spans="1:22" ht="21">
      <c r="A2" s="129"/>
      <c r="B2" s="129"/>
      <c r="C2" s="129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29"/>
      <c r="O2" s="129"/>
      <c r="P2" s="129"/>
      <c r="Q2" s="131"/>
      <c r="R2" s="131"/>
      <c r="S2" s="131"/>
      <c r="T2" s="131"/>
      <c r="U2" s="131"/>
    </row>
    <row r="3" spans="1:22" ht="21">
      <c r="A3" s="220" t="s">
        <v>6</v>
      </c>
      <c r="B3" s="220" t="s">
        <v>193</v>
      </c>
      <c r="C3" s="220" t="s">
        <v>194</v>
      </c>
      <c r="D3" s="221" t="s">
        <v>195</v>
      </c>
      <c r="E3" s="215"/>
      <c r="F3" s="215"/>
      <c r="G3" s="215"/>
      <c r="H3" s="216"/>
      <c r="I3" s="221" t="s">
        <v>196</v>
      </c>
      <c r="J3" s="215"/>
      <c r="K3" s="215"/>
      <c r="L3" s="215"/>
      <c r="M3" s="216"/>
      <c r="N3" s="222" t="s">
        <v>197</v>
      </c>
      <c r="O3" s="225" t="s">
        <v>193</v>
      </c>
      <c r="P3" s="225" t="s">
        <v>198</v>
      </c>
      <c r="Q3" s="214" t="s">
        <v>199</v>
      </c>
      <c r="R3" s="215"/>
      <c r="S3" s="215"/>
      <c r="T3" s="215"/>
      <c r="U3" s="216"/>
      <c r="V3" s="217" t="s">
        <v>200</v>
      </c>
    </row>
    <row r="4" spans="1:22" ht="15.6">
      <c r="A4" s="218"/>
      <c r="B4" s="218"/>
      <c r="C4" s="218"/>
      <c r="D4" s="132" t="s">
        <v>201</v>
      </c>
      <c r="E4" s="132" t="s">
        <v>202</v>
      </c>
      <c r="F4" s="132" t="s">
        <v>14</v>
      </c>
      <c r="G4" s="132" t="s">
        <v>203</v>
      </c>
      <c r="H4" s="132" t="s">
        <v>204</v>
      </c>
      <c r="I4" s="132" t="s">
        <v>201</v>
      </c>
      <c r="J4" s="132" t="s">
        <v>202</v>
      </c>
      <c r="K4" s="132" t="s">
        <v>14</v>
      </c>
      <c r="L4" s="132" t="s">
        <v>203</v>
      </c>
      <c r="M4" s="132" t="s">
        <v>204</v>
      </c>
      <c r="N4" s="218"/>
      <c r="O4" s="218"/>
      <c r="P4" s="218"/>
      <c r="Q4" s="133" t="s">
        <v>201</v>
      </c>
      <c r="R4" s="133" t="s">
        <v>202</v>
      </c>
      <c r="S4" s="133" t="s">
        <v>14</v>
      </c>
      <c r="T4" s="133" t="s">
        <v>203</v>
      </c>
      <c r="U4" s="133" t="s">
        <v>204</v>
      </c>
      <c r="V4" s="218"/>
    </row>
    <row r="5" spans="1:22" ht="18">
      <c r="A5" s="134" t="e">
        <f t="array" aca="1" ref="A5:A44" ca="1">_xludf.SEQUENCE(40,1)</f>
        <v>#NAME?</v>
      </c>
      <c r="B5" s="135">
        <v>981</v>
      </c>
      <c r="C5" s="136">
        <v>45743</v>
      </c>
      <c r="D5" s="137">
        <v>12</v>
      </c>
      <c r="E5" s="137">
        <v>3</v>
      </c>
      <c r="F5" s="137">
        <v>13</v>
      </c>
      <c r="G5" s="137">
        <v>13</v>
      </c>
      <c r="H5" s="137">
        <v>1</v>
      </c>
      <c r="I5" s="135"/>
      <c r="J5" s="138"/>
      <c r="K5" s="138"/>
      <c r="L5" s="138"/>
      <c r="M5" s="135"/>
      <c r="N5" s="139" t="s">
        <v>205</v>
      </c>
      <c r="O5" s="138">
        <v>1055</v>
      </c>
      <c r="P5" s="141">
        <v>45786</v>
      </c>
      <c r="Q5" s="138">
        <v>1</v>
      </c>
      <c r="R5" s="138">
        <v>9</v>
      </c>
      <c r="S5" s="138">
        <v>10</v>
      </c>
      <c r="T5" s="138">
        <v>1</v>
      </c>
      <c r="U5" s="138"/>
      <c r="V5" s="142" t="s">
        <v>206</v>
      </c>
    </row>
    <row r="6" spans="1:22" ht="18">
      <c r="A6" s="134" t="e">
        <f ca="1"/>
        <v>#NAME?</v>
      </c>
      <c r="B6" s="135">
        <v>981</v>
      </c>
      <c r="C6" s="136">
        <v>45743</v>
      </c>
      <c r="D6" s="135"/>
      <c r="E6" s="135">
        <v>1</v>
      </c>
      <c r="F6" s="135">
        <v>2</v>
      </c>
      <c r="G6" s="135"/>
      <c r="H6" s="135"/>
      <c r="I6" s="135"/>
      <c r="J6" s="135">
        <v>20</v>
      </c>
      <c r="K6" s="135">
        <v>20</v>
      </c>
      <c r="L6" s="135">
        <v>7</v>
      </c>
      <c r="M6" s="135"/>
      <c r="N6" s="139" t="s">
        <v>205</v>
      </c>
      <c r="O6" s="138">
        <v>1074</v>
      </c>
      <c r="P6" s="141">
        <v>45798</v>
      </c>
      <c r="Q6" s="138">
        <v>1</v>
      </c>
      <c r="R6" s="138">
        <v>4</v>
      </c>
      <c r="S6" s="138">
        <v>6</v>
      </c>
      <c r="T6" s="138">
        <v>2</v>
      </c>
      <c r="U6" s="138"/>
      <c r="V6" s="142" t="s">
        <v>206</v>
      </c>
    </row>
    <row r="7" spans="1:22" ht="18">
      <c r="A7" s="134" t="e">
        <f ca="1"/>
        <v>#NAME?</v>
      </c>
      <c r="B7" s="135">
        <v>1074</v>
      </c>
      <c r="C7" s="136">
        <v>45798</v>
      </c>
      <c r="D7" s="135"/>
      <c r="E7" s="135"/>
      <c r="F7" s="135"/>
      <c r="G7" s="135"/>
      <c r="H7" s="135"/>
      <c r="I7" s="135">
        <v>1</v>
      </c>
      <c r="J7" s="135">
        <v>5</v>
      </c>
      <c r="K7" s="135">
        <v>6</v>
      </c>
      <c r="L7" s="135">
        <v>5</v>
      </c>
      <c r="M7" s="135"/>
      <c r="N7" s="139" t="s">
        <v>207</v>
      </c>
      <c r="O7" s="138">
        <v>1094</v>
      </c>
      <c r="P7" s="141">
        <v>45813</v>
      </c>
      <c r="Q7" s="138"/>
      <c r="R7" s="138">
        <v>3</v>
      </c>
      <c r="S7" s="138">
        <v>1</v>
      </c>
      <c r="T7" s="138">
        <v>4</v>
      </c>
      <c r="U7" s="138"/>
      <c r="V7" s="142" t="s">
        <v>206</v>
      </c>
    </row>
    <row r="8" spans="1:22" ht="18">
      <c r="A8" s="134" t="e">
        <f ca="1"/>
        <v>#NAME?</v>
      </c>
      <c r="B8" s="135">
        <v>1251</v>
      </c>
      <c r="C8" s="136">
        <v>45880</v>
      </c>
      <c r="D8" s="135"/>
      <c r="E8" s="135"/>
      <c r="F8" s="135"/>
      <c r="G8" s="135"/>
      <c r="H8" s="135"/>
      <c r="I8" s="135">
        <v>3</v>
      </c>
      <c r="J8" s="138"/>
      <c r="K8" s="138"/>
      <c r="L8" s="135"/>
      <c r="M8" s="135"/>
      <c r="N8" s="139" t="s">
        <v>208</v>
      </c>
      <c r="O8" s="138">
        <v>1103</v>
      </c>
      <c r="P8" s="141">
        <v>45827</v>
      </c>
      <c r="Q8" s="138"/>
      <c r="R8" s="138"/>
      <c r="S8" s="138">
        <v>3</v>
      </c>
      <c r="T8" s="138">
        <v>2</v>
      </c>
      <c r="U8" s="138"/>
      <c r="V8" s="142" t="s">
        <v>206</v>
      </c>
    </row>
    <row r="9" spans="1:22" ht="18">
      <c r="A9" s="134" t="e">
        <f ca="1"/>
        <v>#NAME?</v>
      </c>
      <c r="B9" s="135">
        <v>1320</v>
      </c>
      <c r="C9" s="136">
        <v>45898</v>
      </c>
      <c r="D9" s="135"/>
      <c r="E9" s="135"/>
      <c r="F9" s="135"/>
      <c r="G9" s="135"/>
      <c r="H9" s="135"/>
      <c r="I9" s="135"/>
      <c r="J9" s="135">
        <v>14</v>
      </c>
      <c r="K9" s="135">
        <v>26</v>
      </c>
      <c r="L9" s="135"/>
      <c r="M9" s="135"/>
      <c r="N9" s="139" t="s">
        <v>206</v>
      </c>
      <c r="O9" s="138">
        <v>1189</v>
      </c>
      <c r="P9" s="141">
        <v>45853</v>
      </c>
      <c r="Q9" s="138"/>
      <c r="R9" s="138"/>
      <c r="S9" s="138">
        <v>2</v>
      </c>
      <c r="T9" s="138"/>
      <c r="U9" s="138"/>
      <c r="V9" s="142" t="s">
        <v>210</v>
      </c>
    </row>
    <row r="10" spans="1:22" ht="18">
      <c r="A10" s="134" t="e">
        <f ca="1"/>
        <v>#NAME?</v>
      </c>
      <c r="B10" s="135">
        <v>1452</v>
      </c>
      <c r="C10" s="136">
        <v>45917</v>
      </c>
      <c r="D10" s="138"/>
      <c r="E10" s="138"/>
      <c r="F10" s="138"/>
      <c r="G10" s="138"/>
      <c r="H10" s="138"/>
      <c r="I10" s="143">
        <v>12</v>
      </c>
      <c r="J10" s="143">
        <v>10</v>
      </c>
      <c r="K10" s="143">
        <v>14</v>
      </c>
      <c r="L10" s="143"/>
      <c r="M10" s="143"/>
      <c r="N10" s="139" t="s">
        <v>206</v>
      </c>
      <c r="O10" s="138">
        <v>1197</v>
      </c>
      <c r="P10" s="141">
        <v>45859</v>
      </c>
      <c r="Q10" s="138"/>
      <c r="R10" s="138">
        <v>3</v>
      </c>
      <c r="S10" s="138">
        <v>2</v>
      </c>
      <c r="T10" s="138"/>
      <c r="U10" s="138"/>
      <c r="V10" s="142" t="s">
        <v>206</v>
      </c>
    </row>
    <row r="11" spans="1:22" ht="18">
      <c r="A11" s="134" t="e">
        <f ca="1"/>
        <v>#NAME?</v>
      </c>
      <c r="B11" s="135">
        <v>1523</v>
      </c>
      <c r="C11" s="136">
        <v>45951</v>
      </c>
      <c r="D11" s="135"/>
      <c r="E11" s="135"/>
      <c r="F11" s="135"/>
      <c r="G11" s="135"/>
      <c r="H11" s="135"/>
      <c r="I11" s="143"/>
      <c r="J11" s="143">
        <v>8</v>
      </c>
      <c r="K11" s="143"/>
      <c r="L11" s="143"/>
      <c r="M11" s="143"/>
      <c r="N11" s="139" t="s">
        <v>206</v>
      </c>
      <c r="O11" s="138">
        <v>1252</v>
      </c>
      <c r="P11" s="141">
        <v>45881</v>
      </c>
      <c r="Q11" s="138"/>
      <c r="R11" s="138">
        <v>1</v>
      </c>
      <c r="S11" s="138"/>
      <c r="T11" s="138">
        <v>3</v>
      </c>
      <c r="U11" s="138"/>
      <c r="V11" s="142" t="s">
        <v>206</v>
      </c>
    </row>
    <row r="12" spans="1:22" ht="18">
      <c r="A12" s="134" t="e">
        <f ca="1"/>
        <v>#NAME?</v>
      </c>
      <c r="B12" s="135">
        <v>1589</v>
      </c>
      <c r="C12" s="136">
        <v>45992</v>
      </c>
      <c r="D12" s="135"/>
      <c r="E12" s="135"/>
      <c r="F12" s="135"/>
      <c r="G12" s="135"/>
      <c r="H12" s="135"/>
      <c r="I12" s="143">
        <v>10</v>
      </c>
      <c r="J12" s="143">
        <v>10</v>
      </c>
      <c r="K12" s="143"/>
      <c r="L12" s="143"/>
      <c r="M12" s="143"/>
      <c r="N12" s="139" t="s">
        <v>207</v>
      </c>
      <c r="O12" s="138">
        <v>1265</v>
      </c>
      <c r="P12" s="141">
        <v>45884</v>
      </c>
      <c r="Q12" s="138"/>
      <c r="R12" s="138">
        <v>2</v>
      </c>
      <c r="S12" s="138">
        <v>1</v>
      </c>
      <c r="T12" s="138"/>
      <c r="U12" s="138"/>
      <c r="V12" s="142" t="s">
        <v>207</v>
      </c>
    </row>
    <row r="13" spans="1:22" ht="18">
      <c r="A13" s="134" t="e">
        <f ca="1"/>
        <v>#NAME?</v>
      </c>
      <c r="B13" s="135">
        <v>1725</v>
      </c>
      <c r="C13" s="136">
        <v>46036</v>
      </c>
      <c r="D13" s="135"/>
      <c r="E13" s="135"/>
      <c r="F13" s="135"/>
      <c r="G13" s="135"/>
      <c r="H13" s="135"/>
      <c r="I13" s="143">
        <v>2</v>
      </c>
      <c r="J13" s="143">
        <v>8</v>
      </c>
      <c r="K13" s="143">
        <v>10</v>
      </c>
      <c r="L13" s="143"/>
      <c r="M13" s="143"/>
      <c r="N13" s="139" t="s">
        <v>206</v>
      </c>
      <c r="O13" s="138">
        <v>1320</v>
      </c>
      <c r="P13" s="141">
        <v>45898</v>
      </c>
      <c r="Q13" s="138"/>
      <c r="R13" s="138">
        <v>3</v>
      </c>
      <c r="S13" s="138">
        <v>2</v>
      </c>
      <c r="T13" s="138"/>
      <c r="U13" s="138"/>
      <c r="V13" s="142" t="s">
        <v>206</v>
      </c>
    </row>
    <row r="14" spans="1:22" ht="18">
      <c r="A14" s="134" t="e">
        <f ca="1"/>
        <v>#NAME?</v>
      </c>
      <c r="B14" s="135">
        <v>1740</v>
      </c>
      <c r="C14" s="136">
        <v>46050</v>
      </c>
      <c r="D14" s="138"/>
      <c r="E14" s="138"/>
      <c r="F14" s="138"/>
      <c r="G14" s="138"/>
      <c r="H14" s="138"/>
      <c r="I14" s="143">
        <v>30</v>
      </c>
      <c r="J14" s="143">
        <v>2</v>
      </c>
      <c r="K14" s="143">
        <v>4</v>
      </c>
      <c r="L14" s="143"/>
      <c r="M14" s="143"/>
      <c r="N14" s="139" t="s">
        <v>211</v>
      </c>
      <c r="O14" s="138">
        <v>1467</v>
      </c>
      <c r="P14" s="141">
        <v>45924</v>
      </c>
      <c r="Q14" s="138"/>
      <c r="R14" s="138">
        <v>2</v>
      </c>
      <c r="S14" s="138">
        <v>2</v>
      </c>
      <c r="T14" s="138">
        <v>15</v>
      </c>
      <c r="U14" s="138"/>
      <c r="V14" s="142" t="s">
        <v>212</v>
      </c>
    </row>
    <row r="15" spans="1:22" ht="18">
      <c r="A15" s="134" t="e">
        <f ca="1"/>
        <v>#NAME?</v>
      </c>
      <c r="B15" s="135">
        <v>1786</v>
      </c>
      <c r="C15" s="136">
        <v>46063</v>
      </c>
      <c r="D15" s="135"/>
      <c r="E15" s="135"/>
      <c r="F15" s="135"/>
      <c r="G15" s="135"/>
      <c r="H15" s="135"/>
      <c r="I15" s="143"/>
      <c r="J15" s="143"/>
      <c r="K15" s="143">
        <v>20</v>
      </c>
      <c r="L15" s="143"/>
      <c r="M15" s="143"/>
      <c r="N15" s="139" t="s">
        <v>206</v>
      </c>
      <c r="O15" s="138">
        <v>1523</v>
      </c>
      <c r="P15" s="141">
        <v>45951</v>
      </c>
      <c r="Q15" s="138">
        <v>1</v>
      </c>
      <c r="R15" s="138">
        <v>7</v>
      </c>
      <c r="S15" s="138">
        <v>10</v>
      </c>
      <c r="T15" s="138"/>
      <c r="U15" s="138"/>
      <c r="V15" s="142" t="s">
        <v>206</v>
      </c>
    </row>
    <row r="16" spans="1:22" ht="18">
      <c r="A16" s="134" t="e">
        <f ca="1"/>
        <v>#NAME?</v>
      </c>
      <c r="B16" s="135">
        <v>1837</v>
      </c>
      <c r="C16" s="136">
        <v>46079</v>
      </c>
      <c r="D16" s="135"/>
      <c r="E16" s="135"/>
      <c r="F16" s="135"/>
      <c r="G16" s="135"/>
      <c r="H16" s="135"/>
      <c r="I16" s="143"/>
      <c r="J16" s="143">
        <v>11</v>
      </c>
      <c r="K16" s="143">
        <v>20</v>
      </c>
      <c r="L16" s="143"/>
      <c r="M16" s="143"/>
      <c r="N16" s="139" t="s">
        <v>206</v>
      </c>
      <c r="O16" s="138">
        <v>1546</v>
      </c>
      <c r="P16" s="141">
        <v>45968</v>
      </c>
      <c r="Q16" s="138">
        <v>3</v>
      </c>
      <c r="R16" s="138">
        <v>5</v>
      </c>
      <c r="S16" s="138">
        <v>2</v>
      </c>
      <c r="T16" s="138">
        <v>1</v>
      </c>
      <c r="U16" s="138"/>
      <c r="V16" s="142" t="s">
        <v>207</v>
      </c>
    </row>
    <row r="17" spans="1:22" ht="18">
      <c r="A17" s="134" t="e">
        <f ca="1"/>
        <v>#NAME?</v>
      </c>
      <c r="B17" s="135">
        <v>1883</v>
      </c>
      <c r="C17" s="136">
        <v>46091</v>
      </c>
      <c r="D17" s="135"/>
      <c r="E17" s="135"/>
      <c r="F17" s="135"/>
      <c r="G17" s="135"/>
      <c r="H17" s="135"/>
      <c r="I17" s="143">
        <v>3</v>
      </c>
      <c r="J17" s="143">
        <v>7</v>
      </c>
      <c r="K17" s="143">
        <v>3</v>
      </c>
      <c r="L17" s="143"/>
      <c r="M17" s="143"/>
      <c r="N17" s="139" t="s">
        <v>206</v>
      </c>
      <c r="O17" s="138">
        <v>1572</v>
      </c>
      <c r="P17" s="141">
        <v>45982</v>
      </c>
      <c r="Q17" s="138">
        <v>1</v>
      </c>
      <c r="R17" s="138">
        <v>1</v>
      </c>
      <c r="S17" s="138">
        <v>5</v>
      </c>
      <c r="T17" s="138"/>
      <c r="U17" s="138"/>
      <c r="V17" s="142" t="s">
        <v>206</v>
      </c>
    </row>
    <row r="18" spans="1:22" ht="17.399999999999999">
      <c r="A18" s="134" t="e">
        <f ca="1"/>
        <v>#NAME?</v>
      </c>
      <c r="B18" s="144"/>
      <c r="C18" s="136"/>
      <c r="D18" s="135"/>
      <c r="E18" s="135"/>
      <c r="F18" s="135"/>
      <c r="G18" s="135"/>
      <c r="H18" s="135"/>
      <c r="I18" s="143"/>
      <c r="J18" s="143"/>
      <c r="K18" s="143"/>
      <c r="L18" s="143"/>
      <c r="M18" s="143"/>
      <c r="N18" s="35"/>
      <c r="O18" s="138">
        <v>1639</v>
      </c>
      <c r="P18" s="141">
        <v>46010</v>
      </c>
      <c r="Q18" s="138"/>
      <c r="R18" s="138">
        <v>1</v>
      </c>
      <c r="S18" s="138">
        <v>2</v>
      </c>
      <c r="T18" s="138"/>
      <c r="U18" s="138"/>
      <c r="V18" s="142" t="s">
        <v>206</v>
      </c>
    </row>
    <row r="19" spans="1:22" ht="17.399999999999999">
      <c r="A19" s="134" t="e">
        <f ca="1"/>
        <v>#NAME?</v>
      </c>
      <c r="B19" s="144"/>
      <c r="C19" s="136"/>
      <c r="D19" s="135"/>
      <c r="E19" s="135"/>
      <c r="F19" s="135"/>
      <c r="G19" s="135"/>
      <c r="H19" s="135"/>
      <c r="I19" s="143"/>
      <c r="J19" s="143"/>
      <c r="K19" s="143"/>
      <c r="L19" s="143"/>
      <c r="M19" s="143"/>
      <c r="N19" s="35"/>
      <c r="O19" s="138">
        <v>1722</v>
      </c>
      <c r="P19" s="141">
        <v>46034</v>
      </c>
      <c r="Q19" s="138">
        <v>2</v>
      </c>
      <c r="R19" s="138">
        <v>1</v>
      </c>
      <c r="S19" s="138">
        <v>4</v>
      </c>
      <c r="T19" s="138"/>
      <c r="U19" s="138"/>
      <c r="V19" s="142" t="s">
        <v>206</v>
      </c>
    </row>
    <row r="20" spans="1:22" ht="17.399999999999999">
      <c r="A20" s="134" t="e">
        <f ca="1"/>
        <v>#NAME?</v>
      </c>
      <c r="B20" s="144"/>
      <c r="C20" s="136"/>
      <c r="D20" s="135"/>
      <c r="E20" s="135"/>
      <c r="F20" s="135"/>
      <c r="G20" s="135"/>
      <c r="H20" s="135"/>
      <c r="I20" s="143"/>
      <c r="J20" s="143"/>
      <c r="K20" s="143"/>
      <c r="L20" s="143"/>
      <c r="M20" s="143"/>
      <c r="N20" s="35"/>
      <c r="O20" s="138">
        <v>1740</v>
      </c>
      <c r="P20" s="141">
        <v>46050</v>
      </c>
      <c r="Q20" s="138">
        <v>2</v>
      </c>
      <c r="R20" s="138">
        <v>6</v>
      </c>
      <c r="S20" s="138">
        <v>8</v>
      </c>
      <c r="T20" s="138"/>
      <c r="U20" s="138"/>
      <c r="V20" s="142" t="s">
        <v>206</v>
      </c>
    </row>
    <row r="21" spans="1:22" ht="17.399999999999999">
      <c r="A21" s="134" t="e">
        <f ca="1"/>
        <v>#NAME?</v>
      </c>
      <c r="B21" s="144"/>
      <c r="C21" s="136"/>
      <c r="D21" s="135"/>
      <c r="E21" s="135"/>
      <c r="F21" s="135"/>
      <c r="G21" s="135"/>
      <c r="H21" s="135"/>
      <c r="I21" s="143"/>
      <c r="J21" s="143"/>
      <c r="K21" s="143"/>
      <c r="L21" s="143"/>
      <c r="M21" s="143"/>
      <c r="N21" s="35"/>
      <c r="O21" s="138">
        <v>1786</v>
      </c>
      <c r="P21" s="141">
        <v>46063</v>
      </c>
      <c r="Q21" s="138">
        <v>6</v>
      </c>
      <c r="R21" s="138">
        <v>7</v>
      </c>
      <c r="S21" s="138">
        <v>15</v>
      </c>
      <c r="T21" s="138"/>
      <c r="U21" s="138"/>
      <c r="V21" s="142" t="s">
        <v>206</v>
      </c>
    </row>
    <row r="22" spans="1:22" ht="17.399999999999999">
      <c r="A22" s="134" t="e">
        <f ca="1"/>
        <v>#NAME?</v>
      </c>
      <c r="B22" s="144"/>
      <c r="C22" s="136"/>
      <c r="D22" s="135"/>
      <c r="E22" s="135"/>
      <c r="F22" s="135"/>
      <c r="G22" s="135"/>
      <c r="H22" s="135"/>
      <c r="I22" s="143"/>
      <c r="J22" s="143"/>
      <c r="K22" s="143"/>
      <c r="L22" s="143"/>
      <c r="M22" s="143"/>
      <c r="N22" s="35"/>
      <c r="O22" s="138">
        <v>1828</v>
      </c>
      <c r="P22" s="141">
        <v>46074</v>
      </c>
      <c r="Q22" s="138">
        <v>2</v>
      </c>
      <c r="R22" s="138">
        <v>7</v>
      </c>
      <c r="S22" s="138">
        <v>4</v>
      </c>
      <c r="T22" s="138">
        <v>1</v>
      </c>
      <c r="U22" s="138"/>
      <c r="V22" s="142" t="s">
        <v>213</v>
      </c>
    </row>
    <row r="23" spans="1:22" ht="17.399999999999999">
      <c r="A23" s="134" t="e">
        <f ca="1"/>
        <v>#NAME?</v>
      </c>
      <c r="B23" s="144"/>
      <c r="C23" s="136"/>
      <c r="D23" s="135"/>
      <c r="E23" s="135"/>
      <c r="F23" s="135"/>
      <c r="G23" s="135"/>
      <c r="H23" s="135"/>
      <c r="I23" s="143"/>
      <c r="J23" s="143"/>
      <c r="K23" s="143"/>
      <c r="L23" s="143"/>
      <c r="M23" s="143"/>
      <c r="N23" s="35"/>
      <c r="O23" s="138">
        <v>1837</v>
      </c>
      <c r="P23" s="141">
        <v>46079</v>
      </c>
      <c r="Q23" s="138">
        <v>5</v>
      </c>
      <c r="R23" s="138">
        <v>7</v>
      </c>
      <c r="S23" s="138">
        <v>6</v>
      </c>
      <c r="T23" s="138"/>
      <c r="U23" s="138"/>
      <c r="V23" s="142" t="s">
        <v>206</v>
      </c>
    </row>
    <row r="24" spans="1:22" ht="17.399999999999999">
      <c r="A24" s="134" t="e">
        <f ca="1"/>
        <v>#NAME?</v>
      </c>
      <c r="B24" s="144"/>
      <c r="C24" s="136"/>
      <c r="D24" s="135"/>
      <c r="E24" s="135"/>
      <c r="F24" s="135"/>
      <c r="G24" s="135"/>
      <c r="H24" s="135"/>
      <c r="I24" s="143"/>
      <c r="J24" s="143"/>
      <c r="K24" s="143"/>
      <c r="L24" s="143"/>
      <c r="M24" s="143"/>
      <c r="N24" s="35"/>
      <c r="O24" s="138">
        <v>1915</v>
      </c>
      <c r="P24" s="141">
        <v>46126</v>
      </c>
      <c r="Q24" s="138">
        <v>6</v>
      </c>
      <c r="R24" s="138">
        <v>12</v>
      </c>
      <c r="S24" s="138">
        <v>4</v>
      </c>
      <c r="T24" s="138"/>
      <c r="U24" s="138"/>
      <c r="V24" s="142" t="s">
        <v>214</v>
      </c>
    </row>
    <row r="25" spans="1:22" ht="17.399999999999999">
      <c r="A25" s="134" t="e">
        <f ca="1"/>
        <v>#NAME?</v>
      </c>
      <c r="B25" s="144"/>
      <c r="C25" s="136"/>
      <c r="D25" s="135"/>
      <c r="E25" s="135"/>
      <c r="F25" s="135"/>
      <c r="G25" s="135"/>
      <c r="H25" s="135"/>
      <c r="I25" s="143"/>
      <c r="J25" s="143"/>
      <c r="K25" s="143"/>
      <c r="L25" s="143"/>
      <c r="M25" s="143"/>
      <c r="N25" s="35"/>
      <c r="O25" s="138">
        <v>2007</v>
      </c>
      <c r="P25" s="141">
        <v>46147</v>
      </c>
      <c r="Q25" s="138">
        <v>3</v>
      </c>
      <c r="R25" s="138">
        <v>6</v>
      </c>
      <c r="S25" s="138">
        <v>2</v>
      </c>
      <c r="T25" s="138"/>
      <c r="U25" s="138"/>
      <c r="V25" s="142" t="s">
        <v>206</v>
      </c>
    </row>
    <row r="26" spans="1:22" ht="17.399999999999999">
      <c r="A26" s="134" t="e">
        <f ca="1"/>
        <v>#NAME?</v>
      </c>
      <c r="B26" s="144"/>
      <c r="C26" s="136"/>
      <c r="D26" s="135"/>
      <c r="E26" s="135"/>
      <c r="F26" s="135"/>
      <c r="G26" s="135"/>
      <c r="H26" s="135"/>
      <c r="I26" s="143"/>
      <c r="J26" s="143"/>
      <c r="K26" s="143"/>
      <c r="L26" s="143"/>
      <c r="M26" s="143"/>
      <c r="N26" s="35"/>
      <c r="O26" s="138">
        <v>2041</v>
      </c>
      <c r="P26" s="141">
        <v>46170</v>
      </c>
      <c r="Q26" s="138">
        <v>5</v>
      </c>
      <c r="R26" s="138">
        <v>4</v>
      </c>
      <c r="S26" s="138">
        <v>11</v>
      </c>
      <c r="T26" s="138"/>
      <c r="U26" s="138"/>
      <c r="V26" s="142" t="s">
        <v>206</v>
      </c>
    </row>
    <row r="27" spans="1:22" ht="17.399999999999999">
      <c r="A27" s="134" t="e">
        <f ca="1"/>
        <v>#NAME?</v>
      </c>
      <c r="B27" s="144"/>
      <c r="C27" s="136"/>
      <c r="D27" s="135"/>
      <c r="E27" s="135"/>
      <c r="F27" s="135"/>
      <c r="G27" s="135"/>
      <c r="H27" s="135"/>
      <c r="I27" s="143"/>
      <c r="J27" s="143"/>
      <c r="K27" s="143"/>
      <c r="L27" s="143"/>
      <c r="M27" s="143"/>
      <c r="N27" s="35"/>
      <c r="O27" s="138">
        <v>2119</v>
      </c>
      <c r="P27" s="141">
        <v>46204</v>
      </c>
      <c r="Q27" s="138">
        <v>5</v>
      </c>
      <c r="R27" s="138">
        <v>3</v>
      </c>
      <c r="S27" s="138">
        <v>1</v>
      </c>
      <c r="T27" s="138"/>
      <c r="U27" s="138"/>
      <c r="V27" s="142" t="s">
        <v>214</v>
      </c>
    </row>
    <row r="28" spans="1:22" ht="17.399999999999999">
      <c r="A28" s="134" t="e">
        <f ca="1"/>
        <v>#NAME?</v>
      </c>
      <c r="B28" s="144"/>
      <c r="C28" s="136"/>
      <c r="D28" s="135"/>
      <c r="E28" s="135"/>
      <c r="F28" s="135"/>
      <c r="G28" s="135"/>
      <c r="H28" s="135"/>
      <c r="I28" s="143"/>
      <c r="J28" s="143"/>
      <c r="K28" s="143"/>
      <c r="L28" s="143"/>
      <c r="M28" s="143"/>
      <c r="N28" s="35"/>
      <c r="O28" s="145"/>
      <c r="P28" s="141"/>
      <c r="Q28" s="138"/>
      <c r="R28" s="138"/>
      <c r="S28" s="138"/>
      <c r="T28" s="138"/>
      <c r="U28" s="138"/>
      <c r="V28" s="146"/>
    </row>
    <row r="29" spans="1:22" ht="17.399999999999999">
      <c r="A29" s="134" t="e">
        <f ca="1"/>
        <v>#NAME?</v>
      </c>
      <c r="B29" s="144"/>
      <c r="C29" s="136"/>
      <c r="D29" s="135"/>
      <c r="E29" s="135"/>
      <c r="F29" s="135"/>
      <c r="G29" s="135"/>
      <c r="H29" s="135"/>
      <c r="I29" s="143"/>
      <c r="J29" s="143"/>
      <c r="K29" s="143"/>
      <c r="L29" s="143"/>
      <c r="M29" s="143"/>
      <c r="N29" s="35"/>
      <c r="O29" s="145"/>
      <c r="P29" s="141"/>
      <c r="Q29" s="138"/>
      <c r="R29" s="138"/>
      <c r="S29" s="138"/>
      <c r="T29" s="138"/>
      <c r="U29" s="138"/>
      <c r="V29" s="146"/>
    </row>
    <row r="30" spans="1:22" ht="17.399999999999999">
      <c r="A30" s="134" t="e">
        <f ca="1"/>
        <v>#NAME?</v>
      </c>
      <c r="B30" s="144"/>
      <c r="C30" s="136"/>
      <c r="D30" s="135"/>
      <c r="E30" s="135"/>
      <c r="F30" s="135"/>
      <c r="G30" s="135"/>
      <c r="H30" s="135"/>
      <c r="I30" s="143"/>
      <c r="J30" s="143"/>
      <c r="K30" s="143"/>
      <c r="L30" s="143"/>
      <c r="M30" s="143"/>
      <c r="N30" s="35"/>
      <c r="O30" s="145"/>
      <c r="P30" s="141"/>
      <c r="Q30" s="138"/>
      <c r="R30" s="138"/>
      <c r="S30" s="138"/>
      <c r="T30" s="138"/>
      <c r="U30" s="138"/>
      <c r="V30" s="146"/>
    </row>
    <row r="31" spans="1:22" ht="17.399999999999999">
      <c r="A31" s="134" t="e">
        <f ca="1"/>
        <v>#NAME?</v>
      </c>
      <c r="B31" s="144"/>
      <c r="C31" s="136"/>
      <c r="D31" s="135"/>
      <c r="E31" s="135"/>
      <c r="F31" s="135"/>
      <c r="G31" s="135"/>
      <c r="H31" s="135"/>
      <c r="I31" s="143"/>
      <c r="J31" s="143"/>
      <c r="K31" s="143"/>
      <c r="L31" s="143"/>
      <c r="M31" s="143"/>
      <c r="N31" s="35"/>
      <c r="O31" s="145"/>
      <c r="P31" s="141"/>
      <c r="Q31" s="138"/>
      <c r="R31" s="138"/>
      <c r="S31" s="138"/>
      <c r="T31" s="138"/>
      <c r="U31" s="138"/>
      <c r="V31" s="146"/>
    </row>
    <row r="32" spans="1:22" ht="17.399999999999999">
      <c r="A32" s="134" t="e">
        <f ca="1"/>
        <v>#NAME?</v>
      </c>
      <c r="B32" s="144"/>
      <c r="C32" s="136"/>
      <c r="D32" s="135"/>
      <c r="E32" s="135"/>
      <c r="F32" s="135"/>
      <c r="G32" s="135"/>
      <c r="H32" s="135"/>
      <c r="I32" s="143"/>
      <c r="J32" s="143"/>
      <c r="K32" s="143"/>
      <c r="L32" s="143"/>
      <c r="M32" s="143"/>
      <c r="N32" s="35"/>
      <c r="O32" s="145"/>
      <c r="P32" s="141"/>
      <c r="Q32" s="138"/>
      <c r="R32" s="138"/>
      <c r="S32" s="138"/>
      <c r="T32" s="138"/>
      <c r="U32" s="138"/>
      <c r="V32" s="146"/>
    </row>
    <row r="33" spans="1:22" ht="17.399999999999999">
      <c r="A33" s="134" t="e">
        <f ca="1"/>
        <v>#NAME?</v>
      </c>
      <c r="B33" s="144"/>
      <c r="C33" s="136"/>
      <c r="D33" s="135"/>
      <c r="E33" s="135"/>
      <c r="F33" s="135"/>
      <c r="G33" s="135"/>
      <c r="H33" s="135"/>
      <c r="I33" s="143"/>
      <c r="J33" s="143"/>
      <c r="K33" s="143"/>
      <c r="L33" s="143"/>
      <c r="M33" s="143"/>
      <c r="N33" s="35"/>
      <c r="O33" s="145"/>
      <c r="P33" s="141"/>
      <c r="Q33" s="138"/>
      <c r="R33" s="138"/>
      <c r="S33" s="138"/>
      <c r="T33" s="138"/>
      <c r="U33" s="138"/>
      <c r="V33" s="146"/>
    </row>
    <row r="34" spans="1:22" ht="17.399999999999999">
      <c r="A34" s="134" t="e">
        <f ca="1"/>
        <v>#NAME?</v>
      </c>
      <c r="B34" s="144"/>
      <c r="C34" s="136"/>
      <c r="D34" s="135"/>
      <c r="E34" s="135"/>
      <c r="F34" s="135"/>
      <c r="G34" s="135"/>
      <c r="H34" s="135"/>
      <c r="I34" s="143"/>
      <c r="J34" s="143"/>
      <c r="K34" s="143"/>
      <c r="L34" s="143"/>
      <c r="M34" s="143"/>
      <c r="N34" s="35"/>
      <c r="O34" s="145"/>
      <c r="P34" s="141"/>
      <c r="Q34" s="138"/>
      <c r="R34" s="138"/>
      <c r="S34" s="138"/>
      <c r="T34" s="138"/>
      <c r="U34" s="138"/>
      <c r="V34" s="146"/>
    </row>
    <row r="35" spans="1:22" ht="17.399999999999999">
      <c r="A35" s="134" t="e">
        <f ca="1"/>
        <v>#NAME?</v>
      </c>
      <c r="B35" s="144"/>
      <c r="C35" s="136"/>
      <c r="D35" s="135"/>
      <c r="E35" s="135"/>
      <c r="F35" s="135"/>
      <c r="G35" s="135"/>
      <c r="H35" s="135"/>
      <c r="I35" s="143"/>
      <c r="J35" s="143"/>
      <c r="K35" s="143"/>
      <c r="L35" s="143"/>
      <c r="M35" s="143"/>
      <c r="N35" s="35"/>
      <c r="O35" s="145"/>
      <c r="P35" s="141"/>
      <c r="Q35" s="138"/>
      <c r="R35" s="138"/>
      <c r="S35" s="138"/>
      <c r="T35" s="138"/>
      <c r="U35" s="138"/>
      <c r="V35" s="146"/>
    </row>
    <row r="36" spans="1:22" ht="17.399999999999999">
      <c r="A36" s="134" t="e">
        <f ca="1"/>
        <v>#NAME?</v>
      </c>
      <c r="B36" s="144"/>
      <c r="C36" s="136"/>
      <c r="D36" s="135"/>
      <c r="E36" s="135"/>
      <c r="F36" s="135"/>
      <c r="G36" s="135"/>
      <c r="H36" s="135"/>
      <c r="I36" s="143"/>
      <c r="J36" s="143"/>
      <c r="K36" s="143"/>
      <c r="L36" s="143"/>
      <c r="M36" s="143"/>
      <c r="N36" s="35"/>
      <c r="O36" s="145"/>
      <c r="P36" s="141"/>
      <c r="Q36" s="138"/>
      <c r="R36" s="138"/>
      <c r="S36" s="138"/>
      <c r="T36" s="138"/>
      <c r="U36" s="138"/>
      <c r="V36" s="146"/>
    </row>
    <row r="37" spans="1:22" ht="17.399999999999999">
      <c r="A37" s="134" t="e">
        <f ca="1"/>
        <v>#NAME?</v>
      </c>
      <c r="B37" s="144"/>
      <c r="C37" s="136"/>
      <c r="D37" s="135"/>
      <c r="E37" s="135"/>
      <c r="F37" s="135"/>
      <c r="G37" s="135"/>
      <c r="H37" s="135"/>
      <c r="I37" s="143"/>
      <c r="J37" s="143"/>
      <c r="K37" s="143"/>
      <c r="L37" s="143"/>
      <c r="M37" s="143"/>
      <c r="N37" s="35"/>
      <c r="O37" s="145"/>
      <c r="P37" s="141"/>
      <c r="Q37" s="138"/>
      <c r="R37" s="138"/>
      <c r="S37" s="138"/>
      <c r="T37" s="138"/>
      <c r="U37" s="138"/>
      <c r="V37" s="146"/>
    </row>
    <row r="38" spans="1:22" ht="17.399999999999999">
      <c r="A38" s="134" t="e">
        <f ca="1"/>
        <v>#NAME?</v>
      </c>
      <c r="B38" s="144"/>
      <c r="C38" s="136"/>
      <c r="D38" s="135"/>
      <c r="E38" s="135"/>
      <c r="F38" s="135"/>
      <c r="G38" s="135"/>
      <c r="H38" s="135"/>
      <c r="I38" s="143"/>
      <c r="J38" s="143"/>
      <c r="K38" s="143"/>
      <c r="L38" s="143"/>
      <c r="M38" s="143"/>
      <c r="N38" s="35"/>
      <c r="O38" s="145"/>
      <c r="P38" s="141"/>
      <c r="Q38" s="138"/>
      <c r="R38" s="138"/>
      <c r="S38" s="138"/>
      <c r="T38" s="138"/>
      <c r="U38" s="138"/>
      <c r="V38" s="146"/>
    </row>
    <row r="39" spans="1:22" ht="17.399999999999999">
      <c r="A39" s="134" t="e">
        <f ca="1"/>
        <v>#NAME?</v>
      </c>
      <c r="B39" s="144"/>
      <c r="C39" s="136"/>
      <c r="D39" s="135"/>
      <c r="E39" s="135"/>
      <c r="F39" s="135"/>
      <c r="G39" s="135"/>
      <c r="H39" s="135"/>
      <c r="I39" s="143"/>
      <c r="J39" s="143"/>
      <c r="K39" s="143"/>
      <c r="L39" s="143"/>
      <c r="M39" s="143"/>
      <c r="N39" s="35"/>
      <c r="O39" s="145"/>
      <c r="P39" s="141"/>
      <c r="Q39" s="138"/>
      <c r="R39" s="138"/>
      <c r="S39" s="138"/>
      <c r="T39" s="138"/>
      <c r="U39" s="138"/>
      <c r="V39" s="146"/>
    </row>
    <row r="40" spans="1:22" ht="17.399999999999999">
      <c r="A40" s="134" t="e">
        <f ca="1"/>
        <v>#NAME?</v>
      </c>
      <c r="B40" s="144"/>
      <c r="C40" s="136"/>
      <c r="D40" s="135"/>
      <c r="E40" s="135"/>
      <c r="F40" s="135"/>
      <c r="G40" s="135"/>
      <c r="H40" s="135"/>
      <c r="I40" s="143"/>
      <c r="J40" s="143"/>
      <c r="K40" s="143"/>
      <c r="L40" s="143"/>
      <c r="M40" s="143"/>
      <c r="N40" s="35"/>
      <c r="O40" s="145"/>
      <c r="P40" s="141"/>
      <c r="Q40" s="138"/>
      <c r="R40" s="138"/>
      <c r="S40" s="138"/>
      <c r="T40" s="138"/>
      <c r="U40" s="138"/>
      <c r="V40" s="146"/>
    </row>
    <row r="41" spans="1:22" ht="17.399999999999999">
      <c r="A41" s="134" t="e">
        <f ca="1"/>
        <v>#NAME?</v>
      </c>
      <c r="B41" s="144"/>
      <c r="C41" s="136"/>
      <c r="D41" s="135"/>
      <c r="E41" s="135"/>
      <c r="F41" s="135"/>
      <c r="G41" s="135"/>
      <c r="H41" s="135"/>
      <c r="I41" s="143"/>
      <c r="J41" s="143"/>
      <c r="K41" s="143"/>
      <c r="L41" s="143"/>
      <c r="M41" s="143"/>
      <c r="N41" s="35"/>
      <c r="O41" s="145"/>
      <c r="P41" s="141"/>
      <c r="Q41" s="138"/>
      <c r="R41" s="138"/>
      <c r="S41" s="138"/>
      <c r="T41" s="138"/>
      <c r="U41" s="138"/>
      <c r="V41" s="146"/>
    </row>
    <row r="42" spans="1:22" ht="17.399999999999999">
      <c r="A42" s="134" t="e">
        <f ca="1"/>
        <v>#NAME?</v>
      </c>
      <c r="B42" s="144"/>
      <c r="C42" s="136"/>
      <c r="D42" s="135"/>
      <c r="E42" s="135"/>
      <c r="F42" s="135"/>
      <c r="G42" s="135"/>
      <c r="H42" s="135"/>
      <c r="I42" s="143"/>
      <c r="J42" s="143"/>
      <c r="K42" s="143"/>
      <c r="L42" s="143"/>
      <c r="M42" s="143"/>
      <c r="N42" s="35"/>
      <c r="O42" s="145"/>
      <c r="P42" s="141"/>
      <c r="Q42" s="138"/>
      <c r="R42" s="138"/>
      <c r="S42" s="138"/>
      <c r="T42" s="138"/>
      <c r="U42" s="138"/>
      <c r="V42" s="146"/>
    </row>
    <row r="43" spans="1:22" ht="17.399999999999999">
      <c r="A43" s="134" t="e">
        <f ca="1"/>
        <v>#NAME?</v>
      </c>
      <c r="B43" s="144"/>
      <c r="C43" s="136"/>
      <c r="D43" s="135"/>
      <c r="E43" s="135"/>
      <c r="F43" s="135"/>
      <c r="G43" s="135"/>
      <c r="H43" s="135"/>
      <c r="I43" s="143"/>
      <c r="J43" s="143"/>
      <c r="K43" s="143"/>
      <c r="L43" s="143"/>
      <c r="M43" s="143"/>
      <c r="N43" s="35"/>
      <c r="O43" s="145"/>
      <c r="P43" s="141"/>
      <c r="Q43" s="138"/>
      <c r="R43" s="138"/>
      <c r="S43" s="138"/>
      <c r="T43" s="138"/>
      <c r="U43" s="138"/>
      <c r="V43" s="146"/>
    </row>
    <row r="44" spans="1:22" ht="17.399999999999999">
      <c r="A44" s="134" t="e">
        <f ca="1"/>
        <v>#NAME?</v>
      </c>
      <c r="B44" s="144"/>
      <c r="C44" s="136"/>
      <c r="D44" s="135"/>
      <c r="E44" s="135"/>
      <c r="F44" s="135"/>
      <c r="G44" s="135"/>
      <c r="H44" s="135"/>
      <c r="I44" s="143"/>
      <c r="J44" s="143"/>
      <c r="K44" s="143"/>
      <c r="L44" s="143"/>
      <c r="M44" s="143"/>
      <c r="N44" s="35"/>
      <c r="O44" s="145"/>
      <c r="P44" s="141"/>
      <c r="Q44" s="138"/>
      <c r="R44" s="138"/>
      <c r="S44" s="138"/>
      <c r="T44" s="138"/>
      <c r="U44" s="138"/>
      <c r="V44" s="146"/>
    </row>
    <row r="45" spans="1:22" ht="17.399999999999999">
      <c r="A45" s="19"/>
      <c r="B45" s="19"/>
      <c r="C45" s="147"/>
      <c r="D45" s="148">
        <f t="shared" ref="D45:M45" si="0">SUM(D5:D44)</f>
        <v>12</v>
      </c>
      <c r="E45" s="149">
        <f t="shared" si="0"/>
        <v>4</v>
      </c>
      <c r="F45" s="149">
        <f t="shared" si="0"/>
        <v>15</v>
      </c>
      <c r="G45" s="149">
        <f t="shared" si="0"/>
        <v>13</v>
      </c>
      <c r="H45" s="150">
        <f t="shared" si="0"/>
        <v>1</v>
      </c>
      <c r="I45" s="148">
        <f t="shared" si="0"/>
        <v>61</v>
      </c>
      <c r="J45" s="149">
        <f t="shared" si="0"/>
        <v>95</v>
      </c>
      <c r="K45" s="149">
        <f t="shared" si="0"/>
        <v>123</v>
      </c>
      <c r="L45" s="149">
        <f t="shared" si="0"/>
        <v>12</v>
      </c>
      <c r="M45" s="150">
        <f t="shared" si="0"/>
        <v>0</v>
      </c>
      <c r="N45" s="147"/>
      <c r="O45" s="147"/>
      <c r="P45" s="147"/>
      <c r="Q45" s="148">
        <f t="shared" ref="Q45:U45" si="1">SUM(Q5:Q44)</f>
        <v>43</v>
      </c>
      <c r="R45" s="149">
        <f t="shared" si="1"/>
        <v>94</v>
      </c>
      <c r="S45" s="149">
        <f t="shared" si="1"/>
        <v>103</v>
      </c>
      <c r="T45" s="149">
        <f t="shared" si="1"/>
        <v>29</v>
      </c>
      <c r="U45" s="150">
        <f t="shared" si="1"/>
        <v>0</v>
      </c>
    </row>
    <row r="46" spans="1:22" ht="17.399999999999999">
      <c r="A46" s="19"/>
      <c r="B46" s="19"/>
      <c r="C46" s="19"/>
      <c r="D46" s="151"/>
      <c r="E46" s="151"/>
      <c r="F46" s="151"/>
      <c r="G46" s="151"/>
      <c r="H46" s="151"/>
      <c r="I46" s="226" t="s">
        <v>216</v>
      </c>
      <c r="J46" s="184"/>
      <c r="K46" s="184"/>
      <c r="L46" s="184"/>
      <c r="M46" s="227">
        <f>SUM(D45:M45)</f>
        <v>336</v>
      </c>
      <c r="N46" s="19"/>
      <c r="O46" s="19"/>
      <c r="P46" s="19"/>
      <c r="Q46" s="226" t="s">
        <v>217</v>
      </c>
      <c r="R46" s="184"/>
      <c r="S46" s="184"/>
      <c r="T46" s="228">
        <f>SUM(Q45:U45)</f>
        <v>269</v>
      </c>
      <c r="U46" s="229"/>
    </row>
    <row r="47" spans="1:22" ht="17.399999999999999">
      <c r="A47" s="19"/>
      <c r="B47" s="19"/>
      <c r="C47" s="19"/>
      <c r="D47" s="151"/>
      <c r="E47" s="151"/>
      <c r="F47" s="151"/>
      <c r="G47" s="151"/>
      <c r="H47" s="151"/>
      <c r="I47" s="200"/>
      <c r="J47" s="201"/>
      <c r="K47" s="201"/>
      <c r="L47" s="201"/>
      <c r="M47" s="202"/>
      <c r="N47" s="19"/>
      <c r="O47" s="19"/>
      <c r="P47" s="19"/>
      <c r="Q47" s="200"/>
      <c r="R47" s="201"/>
      <c r="S47" s="201"/>
      <c r="T47" s="201"/>
      <c r="U47" s="202"/>
    </row>
    <row r="50" spans="1:10" ht="13.8">
      <c r="H50" s="152" t="s">
        <v>171</v>
      </c>
      <c r="I50" s="230" t="s">
        <v>219</v>
      </c>
      <c r="J50" s="187"/>
    </row>
    <row r="51" spans="1:10" ht="13.2">
      <c r="A51" s="107"/>
      <c r="B51" s="96" t="s">
        <v>220</v>
      </c>
      <c r="H51" s="153" t="s">
        <v>201</v>
      </c>
      <c r="I51" s="223">
        <f>D45+I45-Q45</f>
        <v>30</v>
      </c>
      <c r="J51" s="187"/>
    </row>
    <row r="52" spans="1:10" ht="13.2">
      <c r="A52" s="71" t="s">
        <v>221</v>
      </c>
      <c r="H52" s="153" t="s">
        <v>202</v>
      </c>
      <c r="I52" s="223">
        <f>E45+J45-R45</f>
        <v>5</v>
      </c>
      <c r="J52" s="187"/>
    </row>
    <row r="53" spans="1:10" ht="13.2">
      <c r="H53" s="153" t="s">
        <v>14</v>
      </c>
      <c r="I53" s="223">
        <f>F45+K45-S45</f>
        <v>35</v>
      </c>
      <c r="J53" s="187"/>
    </row>
    <row r="54" spans="1:10" ht="13.2">
      <c r="H54" s="153" t="s">
        <v>222</v>
      </c>
      <c r="I54" s="223">
        <f>G45+L45-T45</f>
        <v>-4</v>
      </c>
      <c r="J54" s="187"/>
    </row>
    <row r="55" spans="1:10" ht="13.2">
      <c r="H55" s="153" t="s">
        <v>223</v>
      </c>
      <c r="I55" s="223">
        <f>H45+M45-U45</f>
        <v>1</v>
      </c>
      <c r="J55" s="187"/>
    </row>
    <row r="57" spans="1:10" ht="16.8">
      <c r="H57" s="154" t="s">
        <v>224</v>
      </c>
      <c r="I57" s="224">
        <f>SUM(I51:J55)</f>
        <v>67</v>
      </c>
      <c r="J57" s="187"/>
    </row>
    <row r="75" spans="14:16" ht="13.2">
      <c r="N75" s="71">
        <f>12+1+3+12+10+2+30+3</f>
        <v>73</v>
      </c>
      <c r="O75" s="71">
        <f>1+1+1+3+1+2+2+6+2+5+6+3+5+5</f>
        <v>43</v>
      </c>
      <c r="P75" s="71">
        <f t="shared" ref="P75:P79" si="2">N75-O75</f>
        <v>30</v>
      </c>
    </row>
    <row r="76" spans="14:16" ht="13.2">
      <c r="N76" s="71">
        <f>20+3+1+5+14+10+8+10+8+2+11+7</f>
        <v>99</v>
      </c>
      <c r="O76" s="71">
        <f>9+4+3+3+1+2+3+2+7+5+1+1+1+6+7+7+7+12+6+4+3</f>
        <v>94</v>
      </c>
      <c r="P76" s="71">
        <f t="shared" si="2"/>
        <v>5</v>
      </c>
    </row>
    <row r="77" spans="14:16" ht="13.2">
      <c r="N77" s="71">
        <f>20+13+1+1+6+26+14+10+4+20+20+3</f>
        <v>138</v>
      </c>
      <c r="O77" s="71">
        <f>10+6+1+3+2+2+1+2+2+10+2+5+2+4+8+15+4+6+4+2+11+1</f>
        <v>103</v>
      </c>
      <c r="P77" s="71">
        <f t="shared" si="2"/>
        <v>35</v>
      </c>
    </row>
    <row r="78" spans="14:16" ht="13.2">
      <c r="N78" s="71">
        <f>7+13+5</f>
        <v>25</v>
      </c>
      <c r="O78" s="71">
        <f>1+2+4+2+3+15+1+1</f>
        <v>29</v>
      </c>
      <c r="P78" s="71">
        <f t="shared" si="2"/>
        <v>-4</v>
      </c>
    </row>
    <row r="79" spans="14:16" ht="13.2">
      <c r="N79" s="71">
        <f>1</f>
        <v>1</v>
      </c>
      <c r="P79" s="71">
        <f t="shared" si="2"/>
        <v>1</v>
      </c>
    </row>
  </sheetData>
  <mergeCells count="22">
    <mergeCell ref="Q46:S47"/>
    <mergeCell ref="T46:U47"/>
    <mergeCell ref="I50:J50"/>
    <mergeCell ref="I57:J57"/>
    <mergeCell ref="O3:O4"/>
    <mergeCell ref="P3:P4"/>
    <mergeCell ref="I46:L47"/>
    <mergeCell ref="M46:M47"/>
    <mergeCell ref="I51:J51"/>
    <mergeCell ref="I52:J52"/>
    <mergeCell ref="I53:J53"/>
    <mergeCell ref="I54:J54"/>
    <mergeCell ref="I55:J55"/>
    <mergeCell ref="Q3:U3"/>
    <mergeCell ref="V3:V4"/>
    <mergeCell ref="A1:U1"/>
    <mergeCell ref="A3:A4"/>
    <mergeCell ref="B3:B4"/>
    <mergeCell ref="C3:C4"/>
    <mergeCell ref="D3:H3"/>
    <mergeCell ref="I3:M3"/>
    <mergeCell ref="N3:N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J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.75" customHeight="1"/>
  <cols>
    <col min="1" max="1" width="5.109375" customWidth="1"/>
    <col min="2" max="2" width="19.88671875" customWidth="1"/>
    <col min="3" max="3" width="34.44140625" customWidth="1"/>
    <col min="4" max="4" width="28.109375" customWidth="1"/>
    <col min="5" max="5" width="27.44140625" customWidth="1"/>
    <col min="6" max="6" width="28.88671875" customWidth="1"/>
    <col min="7" max="7" width="28.21875" customWidth="1"/>
    <col min="8" max="8" width="28.33203125" customWidth="1"/>
    <col min="9" max="10" width="28.21875" customWidth="1"/>
  </cols>
  <sheetData>
    <row r="1" spans="1:10" ht="51" customHeight="1">
      <c r="A1" s="155" t="s">
        <v>6</v>
      </c>
      <c r="B1" s="155" t="s">
        <v>7</v>
      </c>
      <c r="C1" s="13" t="s">
        <v>8</v>
      </c>
      <c r="D1" s="156" t="s">
        <v>9</v>
      </c>
      <c r="E1" s="156" t="s">
        <v>11</v>
      </c>
      <c r="F1" s="156" t="s">
        <v>15</v>
      </c>
      <c r="G1" s="156" t="s">
        <v>16</v>
      </c>
      <c r="H1" s="156" t="s">
        <v>17</v>
      </c>
      <c r="I1" s="156" t="s">
        <v>18</v>
      </c>
      <c r="J1" s="156" t="s">
        <v>19</v>
      </c>
    </row>
    <row r="2" spans="1:10" ht="16.8">
      <c r="A2" s="3">
        <v>1</v>
      </c>
      <c r="B2" s="3" t="s">
        <v>30</v>
      </c>
      <c r="C2" s="23" t="s">
        <v>32</v>
      </c>
      <c r="D2" s="24">
        <v>46254</v>
      </c>
      <c r="E2" s="24">
        <v>46254</v>
      </c>
      <c r="F2" s="26"/>
      <c r="G2" s="28"/>
      <c r="H2" s="28">
        <v>46292</v>
      </c>
      <c r="I2" s="28"/>
      <c r="J2" s="28">
        <v>46292</v>
      </c>
    </row>
    <row r="3" spans="1:10" ht="16.8">
      <c r="A3" s="3">
        <v>2</v>
      </c>
      <c r="B3" s="3" t="s">
        <v>35</v>
      </c>
      <c r="C3" s="23" t="s">
        <v>32</v>
      </c>
      <c r="D3" s="28">
        <v>46292</v>
      </c>
      <c r="E3" s="28">
        <v>46292</v>
      </c>
      <c r="F3" s="28">
        <v>46325</v>
      </c>
      <c r="G3" s="28"/>
      <c r="H3" s="28"/>
      <c r="I3" s="28"/>
      <c r="J3" s="28">
        <v>46325</v>
      </c>
    </row>
    <row r="4" spans="1:10" ht="16.8">
      <c r="A4" s="3">
        <v>3</v>
      </c>
      <c r="B4" s="36" t="s">
        <v>29</v>
      </c>
      <c r="C4" s="23" t="s">
        <v>37</v>
      </c>
      <c r="D4" s="24">
        <v>46254</v>
      </c>
      <c r="E4" s="24">
        <v>46254</v>
      </c>
      <c r="F4" s="24">
        <v>46254</v>
      </c>
      <c r="G4" s="24"/>
      <c r="H4" s="31"/>
      <c r="I4" s="24"/>
      <c r="J4" s="24">
        <v>46352</v>
      </c>
    </row>
    <row r="5" spans="1:10" ht="16.8">
      <c r="A5" s="3">
        <v>4</v>
      </c>
      <c r="B5" s="36" t="s">
        <v>40</v>
      </c>
      <c r="C5" s="23" t="s">
        <v>37</v>
      </c>
      <c r="D5" s="48">
        <v>46229</v>
      </c>
      <c r="E5" s="48">
        <v>46229</v>
      </c>
      <c r="F5" s="24">
        <v>46352</v>
      </c>
      <c r="G5" s="41"/>
      <c r="H5" s="28"/>
      <c r="I5" s="28"/>
      <c r="J5" s="48">
        <v>46229</v>
      </c>
    </row>
    <row r="6" spans="1:10" ht="16.8">
      <c r="A6" s="3">
        <v>5</v>
      </c>
      <c r="B6" s="3" t="s">
        <v>42</v>
      </c>
      <c r="C6" s="23" t="s">
        <v>2</v>
      </c>
      <c r="D6" s="40">
        <v>46283</v>
      </c>
      <c r="E6" s="40">
        <v>46283</v>
      </c>
      <c r="F6" s="28"/>
      <c r="G6" s="41"/>
      <c r="H6" s="42">
        <v>46376</v>
      </c>
      <c r="I6" s="28"/>
      <c r="J6" s="28">
        <v>46292</v>
      </c>
    </row>
    <row r="7" spans="1:10" ht="16.8">
      <c r="A7" s="3">
        <v>6</v>
      </c>
      <c r="B7" s="3" t="s">
        <v>44</v>
      </c>
      <c r="C7" s="23" t="s">
        <v>45</v>
      </c>
      <c r="D7" s="28">
        <v>46292</v>
      </c>
      <c r="E7" s="28">
        <v>46292</v>
      </c>
      <c r="F7" s="28"/>
      <c r="G7" s="28"/>
      <c r="H7" s="24">
        <v>46254</v>
      </c>
      <c r="I7" s="28"/>
      <c r="J7" s="28">
        <v>46325</v>
      </c>
    </row>
    <row r="8" spans="1:10" ht="16.8">
      <c r="A8" s="3">
        <v>7</v>
      </c>
      <c r="B8" s="3" t="s">
        <v>47</v>
      </c>
      <c r="C8" s="23" t="s">
        <v>2</v>
      </c>
      <c r="D8" s="41"/>
      <c r="E8" s="28"/>
      <c r="F8" s="28">
        <v>46292</v>
      </c>
      <c r="G8" s="28"/>
      <c r="H8" s="28">
        <v>46292</v>
      </c>
      <c r="I8" s="28">
        <v>46292</v>
      </c>
      <c r="J8" s="28">
        <v>46292</v>
      </c>
    </row>
    <row r="9" spans="1:10" ht="16.8">
      <c r="A9" s="3">
        <v>8</v>
      </c>
      <c r="B9" s="45" t="s">
        <v>49</v>
      </c>
      <c r="C9" s="23" t="s">
        <v>2</v>
      </c>
      <c r="D9" s="41"/>
      <c r="E9" s="41"/>
      <c r="F9" s="28">
        <v>46292</v>
      </c>
      <c r="G9" s="28">
        <v>46292</v>
      </c>
      <c r="H9" s="28"/>
      <c r="I9" s="28">
        <v>46292</v>
      </c>
      <c r="J9" s="28">
        <v>46292</v>
      </c>
    </row>
    <row r="10" spans="1:10" ht="16.8">
      <c r="A10" s="3">
        <v>9</v>
      </c>
      <c r="B10" s="3" t="s">
        <v>51</v>
      </c>
      <c r="C10" s="23" t="s">
        <v>2</v>
      </c>
      <c r="D10" s="48">
        <v>46229</v>
      </c>
      <c r="E10" s="48">
        <v>46229</v>
      </c>
      <c r="F10" s="28"/>
      <c r="G10" s="40"/>
      <c r="H10" s="40">
        <v>46283</v>
      </c>
      <c r="I10" s="40"/>
      <c r="J10" s="40">
        <v>46283</v>
      </c>
    </row>
    <row r="11" spans="1:10" ht="16.8">
      <c r="A11" s="3">
        <v>10</v>
      </c>
      <c r="B11" s="3" t="s">
        <v>53</v>
      </c>
      <c r="C11" s="23" t="s">
        <v>54</v>
      </c>
      <c r="D11" s="28">
        <v>46292</v>
      </c>
      <c r="E11" s="28">
        <v>46292</v>
      </c>
      <c r="F11" s="41"/>
      <c r="G11" s="28"/>
      <c r="H11" s="28">
        <v>46292</v>
      </c>
      <c r="I11" s="28"/>
      <c r="J11" s="28">
        <v>46292</v>
      </c>
    </row>
    <row r="12" spans="1:10" ht="16.8">
      <c r="A12" s="3">
        <v>11</v>
      </c>
      <c r="B12" s="3" t="s">
        <v>56</v>
      </c>
      <c r="C12" s="23" t="s">
        <v>54</v>
      </c>
      <c r="D12" s="42">
        <v>46376</v>
      </c>
      <c r="E12" s="42">
        <v>46376</v>
      </c>
      <c r="F12" s="28"/>
      <c r="G12" s="42"/>
      <c r="H12" s="48">
        <v>46053</v>
      </c>
      <c r="I12" s="42"/>
      <c r="J12" s="42">
        <v>46376</v>
      </c>
    </row>
    <row r="13" spans="1:10" ht="16.8">
      <c r="A13" s="3">
        <v>12</v>
      </c>
      <c r="B13" s="3" t="s">
        <v>58</v>
      </c>
      <c r="C13" s="23" t="s">
        <v>54</v>
      </c>
      <c r="D13" s="28">
        <v>46292</v>
      </c>
      <c r="E13" s="24">
        <v>46254</v>
      </c>
      <c r="F13" s="28"/>
      <c r="G13" s="28"/>
      <c r="H13" s="28">
        <v>46292</v>
      </c>
      <c r="I13" s="28"/>
      <c r="J13" s="28">
        <v>46292</v>
      </c>
    </row>
    <row r="14" spans="1:10" ht="16.8">
      <c r="A14" s="3">
        <v>13</v>
      </c>
      <c r="B14" s="3" t="s">
        <v>60</v>
      </c>
      <c r="C14" s="23" t="s">
        <v>54</v>
      </c>
      <c r="D14" s="24">
        <v>46254</v>
      </c>
      <c r="E14" s="24">
        <v>46254</v>
      </c>
      <c r="F14" s="28">
        <v>46292</v>
      </c>
      <c r="G14" s="40"/>
      <c r="H14" s="28"/>
      <c r="I14" s="40"/>
      <c r="J14" s="40">
        <v>46283</v>
      </c>
    </row>
    <row r="15" spans="1:10" ht="16.8">
      <c r="A15" s="3">
        <v>14</v>
      </c>
      <c r="B15" s="3" t="s">
        <v>63</v>
      </c>
      <c r="C15" s="23" t="s">
        <v>54</v>
      </c>
      <c r="D15" s="28">
        <v>46292</v>
      </c>
      <c r="E15" s="28">
        <v>46292</v>
      </c>
      <c r="F15" s="28"/>
      <c r="G15" s="28"/>
      <c r="H15" s="24">
        <v>46254</v>
      </c>
      <c r="I15" s="28"/>
      <c r="J15" s="28">
        <v>46292</v>
      </c>
    </row>
    <row r="16" spans="1:10" ht="16.8">
      <c r="A16" s="3">
        <v>15</v>
      </c>
      <c r="B16" s="3" t="s">
        <v>65</v>
      </c>
      <c r="C16" s="23" t="s">
        <v>54</v>
      </c>
      <c r="D16" s="40">
        <v>46283</v>
      </c>
      <c r="E16" s="28"/>
      <c r="F16" s="28"/>
      <c r="G16" s="24"/>
      <c r="H16" s="24">
        <v>46352</v>
      </c>
      <c r="I16" s="24"/>
      <c r="J16" s="24">
        <v>46352</v>
      </c>
    </row>
    <row r="17" spans="1:10" ht="16.8">
      <c r="A17" s="3">
        <v>16</v>
      </c>
      <c r="B17" s="3" t="s">
        <v>67</v>
      </c>
      <c r="C17" s="23" t="s">
        <v>54</v>
      </c>
      <c r="D17" s="48">
        <v>45854</v>
      </c>
      <c r="E17" s="48">
        <v>45854</v>
      </c>
      <c r="F17" s="28"/>
      <c r="G17" s="28"/>
      <c r="H17" s="48">
        <v>46053</v>
      </c>
      <c r="I17" s="28"/>
      <c r="J17" s="28">
        <v>46292</v>
      </c>
    </row>
    <row r="18" spans="1:10" ht="16.8">
      <c r="A18" s="3">
        <v>17</v>
      </c>
      <c r="B18" s="3" t="s">
        <v>68</v>
      </c>
      <c r="C18" s="23" t="s">
        <v>54</v>
      </c>
      <c r="D18" s="40">
        <v>46283</v>
      </c>
      <c r="E18" s="40">
        <v>46283</v>
      </c>
      <c r="F18" s="28"/>
      <c r="G18" s="24"/>
      <c r="H18" s="24">
        <v>46254</v>
      </c>
      <c r="I18" s="24"/>
      <c r="J18" s="24">
        <v>46254</v>
      </c>
    </row>
    <row r="19" spans="1:10" ht="16.8">
      <c r="A19" s="3">
        <v>18</v>
      </c>
      <c r="B19" s="3" t="s">
        <v>71</v>
      </c>
      <c r="C19" s="23" t="s">
        <v>45</v>
      </c>
      <c r="D19" s="48">
        <v>46229</v>
      </c>
      <c r="E19" s="48">
        <v>46229</v>
      </c>
      <c r="F19" s="28"/>
      <c r="G19" s="24"/>
      <c r="H19" s="24">
        <v>46352</v>
      </c>
      <c r="I19" s="24"/>
      <c r="J19" s="24">
        <v>46352</v>
      </c>
    </row>
    <row r="20" spans="1:10" ht="16.8">
      <c r="A20" s="3">
        <v>19</v>
      </c>
      <c r="B20" s="63" t="s">
        <v>72</v>
      </c>
      <c r="C20" s="23" t="s">
        <v>45</v>
      </c>
      <c r="D20" s="48">
        <v>46229</v>
      </c>
      <c r="E20" s="48">
        <v>46229</v>
      </c>
      <c r="F20" s="64"/>
      <c r="G20" s="40"/>
      <c r="H20" s="28">
        <v>46325</v>
      </c>
      <c r="I20" s="40"/>
      <c r="J20" s="40">
        <v>46283</v>
      </c>
    </row>
    <row r="21" spans="1:10" ht="16.8">
      <c r="A21" s="3">
        <v>20</v>
      </c>
      <c r="B21" s="36" t="s">
        <v>72</v>
      </c>
      <c r="C21" s="66" t="s">
        <v>45</v>
      </c>
      <c r="D21" s="41" t="s">
        <v>12</v>
      </c>
      <c r="E21" s="41" t="s">
        <v>225</v>
      </c>
      <c r="F21" s="42">
        <v>46376</v>
      </c>
      <c r="G21" s="42"/>
      <c r="H21" s="28"/>
      <c r="I21" s="42"/>
      <c r="J21" s="42">
        <v>46376</v>
      </c>
    </row>
    <row r="22" spans="1:10" ht="16.8">
      <c r="A22" s="3">
        <v>21</v>
      </c>
      <c r="B22" s="36" t="s">
        <v>71</v>
      </c>
      <c r="C22" s="66" t="s">
        <v>45</v>
      </c>
      <c r="D22" s="41" t="s">
        <v>14</v>
      </c>
      <c r="E22" s="41" t="s">
        <v>225</v>
      </c>
      <c r="F22" s="42">
        <v>46376</v>
      </c>
      <c r="G22" s="42"/>
      <c r="H22" s="28"/>
      <c r="I22" s="42"/>
      <c r="J22" s="42">
        <v>46376</v>
      </c>
    </row>
    <row r="23" spans="1:10" ht="16.8">
      <c r="A23" s="3">
        <v>22</v>
      </c>
      <c r="B23" s="36" t="s">
        <v>76</v>
      </c>
      <c r="C23" s="23" t="s">
        <v>54</v>
      </c>
      <c r="D23" s="75">
        <v>46197</v>
      </c>
      <c r="E23" s="75">
        <v>46197</v>
      </c>
      <c r="F23" s="42">
        <v>46376</v>
      </c>
      <c r="G23" s="24"/>
      <c r="H23" s="28"/>
      <c r="I23" s="24"/>
      <c r="J23" s="24">
        <v>46254</v>
      </c>
    </row>
    <row r="24" spans="1:10" ht="16.8">
      <c r="A24" s="3">
        <v>23</v>
      </c>
      <c r="B24" s="36" t="s">
        <v>78</v>
      </c>
      <c r="C24" s="23" t="s">
        <v>54</v>
      </c>
      <c r="D24" s="40">
        <v>46283</v>
      </c>
      <c r="E24" s="40">
        <v>46283</v>
      </c>
      <c r="F24" s="28"/>
      <c r="G24" s="28"/>
      <c r="H24" s="28">
        <v>46325</v>
      </c>
      <c r="I24" s="28"/>
      <c r="J24" s="28">
        <v>46325</v>
      </c>
    </row>
    <row r="25" spans="1:10" ht="16.8">
      <c r="A25" s="3">
        <v>24</v>
      </c>
      <c r="B25" s="3" t="s">
        <v>79</v>
      </c>
      <c r="C25" s="23" t="s">
        <v>54</v>
      </c>
      <c r="D25" s="40">
        <v>46283</v>
      </c>
      <c r="E25" s="40">
        <v>46283</v>
      </c>
      <c r="F25" s="28"/>
      <c r="G25" s="24"/>
      <c r="H25" s="24">
        <v>46254</v>
      </c>
      <c r="I25" s="24"/>
      <c r="J25" s="24">
        <v>46254</v>
      </c>
    </row>
    <row r="26" spans="1:10" ht="16.8">
      <c r="A26" s="3">
        <v>25</v>
      </c>
      <c r="B26" s="3" t="s">
        <v>80</v>
      </c>
      <c r="C26" s="23" t="s">
        <v>81</v>
      </c>
      <c r="D26" s="40">
        <v>46283</v>
      </c>
      <c r="E26" s="40">
        <v>46283</v>
      </c>
      <c r="F26" s="28"/>
      <c r="G26" s="40"/>
      <c r="H26" s="40">
        <v>46283</v>
      </c>
      <c r="I26" s="40"/>
      <c r="J26" s="40">
        <v>46283</v>
      </c>
    </row>
    <row r="27" spans="1:10" ht="16.8">
      <c r="A27" s="3">
        <v>26</v>
      </c>
      <c r="B27" s="3" t="s">
        <v>84</v>
      </c>
      <c r="C27" s="23" t="s">
        <v>81</v>
      </c>
      <c r="D27" s="24">
        <v>46254</v>
      </c>
      <c r="E27" s="24">
        <v>46254</v>
      </c>
      <c r="F27" s="28"/>
      <c r="G27" s="24"/>
      <c r="H27" s="42">
        <v>46376</v>
      </c>
      <c r="I27" s="24"/>
      <c r="J27" s="24">
        <v>46254</v>
      </c>
    </row>
    <row r="28" spans="1:10" ht="16.8">
      <c r="A28" s="3">
        <v>27</v>
      </c>
      <c r="B28" s="3" t="s">
        <v>87</v>
      </c>
      <c r="C28" s="23" t="s">
        <v>81</v>
      </c>
      <c r="D28" s="75">
        <v>45890</v>
      </c>
      <c r="E28" s="75">
        <v>45890</v>
      </c>
      <c r="F28" s="76"/>
      <c r="G28" s="24"/>
      <c r="H28" s="24">
        <v>46254</v>
      </c>
      <c r="I28" s="24"/>
      <c r="J28" s="24">
        <v>46352</v>
      </c>
    </row>
    <row r="29" spans="1:10" ht="16.8">
      <c r="A29" s="3">
        <v>28</v>
      </c>
      <c r="B29" s="52" t="s">
        <v>88</v>
      </c>
      <c r="C29" s="23" t="s">
        <v>81</v>
      </c>
      <c r="D29" s="24">
        <v>46254</v>
      </c>
      <c r="E29" s="24">
        <v>46254</v>
      </c>
      <c r="F29" s="28"/>
      <c r="G29" s="40"/>
      <c r="H29" s="28">
        <v>46325</v>
      </c>
      <c r="I29" s="40"/>
      <c r="J29" s="40">
        <v>46283</v>
      </c>
    </row>
    <row r="30" spans="1:10" ht="16.8">
      <c r="A30" s="3">
        <v>29</v>
      </c>
      <c r="B30" s="36" t="s">
        <v>89</v>
      </c>
      <c r="C30" s="23" t="s">
        <v>81</v>
      </c>
      <c r="D30" s="40">
        <v>46283</v>
      </c>
      <c r="E30" s="40">
        <v>46283</v>
      </c>
      <c r="F30" s="28"/>
      <c r="G30" s="24"/>
      <c r="H30" s="42">
        <v>46376</v>
      </c>
      <c r="I30" s="24"/>
      <c r="J30" s="24">
        <v>46352</v>
      </c>
    </row>
    <row r="31" spans="1:10" ht="16.8">
      <c r="A31" s="3">
        <v>30</v>
      </c>
      <c r="B31" s="3" t="s">
        <v>90</v>
      </c>
      <c r="C31" s="23" t="s">
        <v>81</v>
      </c>
      <c r="D31" s="75">
        <v>46197</v>
      </c>
      <c r="E31" s="75">
        <v>46197</v>
      </c>
      <c r="F31" s="28"/>
      <c r="G31" s="24"/>
      <c r="H31" s="24">
        <v>46352</v>
      </c>
      <c r="I31" s="24"/>
      <c r="J31" s="24">
        <v>46352</v>
      </c>
    </row>
    <row r="32" spans="1:10" ht="16.8">
      <c r="A32" s="3">
        <v>31</v>
      </c>
      <c r="B32" s="36" t="s">
        <v>91</v>
      </c>
      <c r="C32" s="23" t="s">
        <v>81</v>
      </c>
      <c r="D32" s="24">
        <v>46254</v>
      </c>
      <c r="E32" s="24">
        <v>46254</v>
      </c>
      <c r="F32" s="28"/>
      <c r="G32" s="28"/>
      <c r="H32" s="28">
        <v>46325</v>
      </c>
      <c r="I32" s="28"/>
      <c r="J32" s="75">
        <v>46053</v>
      </c>
    </row>
    <row r="33" spans="1:10" ht="16.8">
      <c r="A33" s="3">
        <v>32</v>
      </c>
      <c r="B33" s="36" t="s">
        <v>226</v>
      </c>
      <c r="C33" s="23" t="s">
        <v>81</v>
      </c>
      <c r="D33" s="48">
        <v>46229</v>
      </c>
      <c r="E33" s="48">
        <v>46229</v>
      </c>
      <c r="F33" s="28"/>
      <c r="G33" s="28"/>
      <c r="H33" s="28">
        <v>46325</v>
      </c>
      <c r="I33" s="28"/>
      <c r="J33" s="48">
        <v>46229</v>
      </c>
    </row>
    <row r="34" spans="1:10" ht="16.8">
      <c r="A34" s="3">
        <v>33</v>
      </c>
      <c r="B34" s="36" t="s">
        <v>93</v>
      </c>
      <c r="C34" s="23" t="s">
        <v>81</v>
      </c>
      <c r="D34" s="40">
        <v>46283</v>
      </c>
      <c r="E34" s="40">
        <v>46283</v>
      </c>
      <c r="F34" s="28"/>
      <c r="G34" s="40"/>
      <c r="H34" s="40">
        <v>46283</v>
      </c>
      <c r="I34" s="40"/>
      <c r="J34" s="40">
        <v>46283</v>
      </c>
    </row>
    <row r="35" spans="1:10" ht="16.8">
      <c r="A35" s="3">
        <v>34</v>
      </c>
      <c r="B35" s="36" t="s">
        <v>94</v>
      </c>
      <c r="C35" s="23" t="s">
        <v>81</v>
      </c>
      <c r="D35" s="40">
        <v>46283</v>
      </c>
      <c r="E35" s="40">
        <v>46283</v>
      </c>
      <c r="F35" s="28"/>
      <c r="G35" s="24"/>
      <c r="H35" s="28">
        <v>46292</v>
      </c>
      <c r="I35" s="24"/>
      <c r="J35" s="24">
        <v>46352</v>
      </c>
    </row>
    <row r="36" spans="1:10" ht="16.8">
      <c r="A36" s="3">
        <v>35</v>
      </c>
      <c r="B36" s="36" t="s">
        <v>95</v>
      </c>
      <c r="C36" s="23" t="s">
        <v>81</v>
      </c>
      <c r="D36" s="28">
        <v>46292</v>
      </c>
      <c r="E36" s="28">
        <v>46292</v>
      </c>
      <c r="F36" s="31"/>
      <c r="G36" s="28"/>
      <c r="H36" s="28">
        <v>46325</v>
      </c>
      <c r="I36" s="28"/>
      <c r="J36" s="28">
        <v>46325</v>
      </c>
    </row>
    <row r="37" spans="1:10" ht="16.8">
      <c r="A37" s="3">
        <v>36</v>
      </c>
      <c r="B37" s="36" t="s">
        <v>96</v>
      </c>
      <c r="C37" s="23" t="s">
        <v>81</v>
      </c>
      <c r="D37" s="28">
        <v>46292</v>
      </c>
      <c r="E37" s="28">
        <v>46292</v>
      </c>
      <c r="F37" s="31"/>
      <c r="G37" s="42"/>
      <c r="H37" s="28">
        <v>46292</v>
      </c>
      <c r="I37" s="42"/>
      <c r="J37" s="42">
        <v>46376</v>
      </c>
    </row>
    <row r="38" spans="1:10" ht="16.8">
      <c r="A38" s="3">
        <v>37</v>
      </c>
      <c r="B38" s="3" t="s">
        <v>97</v>
      </c>
      <c r="C38" s="23" t="s">
        <v>81</v>
      </c>
      <c r="D38" s="48">
        <v>46197</v>
      </c>
      <c r="E38" s="48">
        <v>46197</v>
      </c>
      <c r="F38" s="31"/>
      <c r="G38" s="28"/>
      <c r="H38" s="28">
        <v>46292</v>
      </c>
      <c r="I38" s="28"/>
      <c r="J38" s="28">
        <v>46325</v>
      </c>
    </row>
    <row r="39" spans="1:10" ht="16.8">
      <c r="A39" s="3">
        <v>38</v>
      </c>
      <c r="B39" s="36" t="s">
        <v>98</v>
      </c>
      <c r="C39" s="23" t="s">
        <v>81</v>
      </c>
      <c r="D39" s="28">
        <v>46292</v>
      </c>
      <c r="E39" s="28">
        <v>46292</v>
      </c>
      <c r="F39" s="28"/>
      <c r="G39" s="28"/>
      <c r="H39" s="48">
        <v>46229</v>
      </c>
      <c r="I39" s="28"/>
      <c r="J39" s="48">
        <v>46229</v>
      </c>
    </row>
    <row r="40" spans="1:10" ht="16.8">
      <c r="A40" s="3">
        <v>39</v>
      </c>
      <c r="B40" s="36" t="s">
        <v>99</v>
      </c>
      <c r="C40" s="23" t="s">
        <v>81</v>
      </c>
      <c r="D40" s="48">
        <v>46229</v>
      </c>
      <c r="E40" s="48">
        <v>46229</v>
      </c>
      <c r="F40" s="28"/>
      <c r="G40" s="28"/>
      <c r="H40" s="28">
        <v>46325</v>
      </c>
      <c r="I40" s="28"/>
      <c r="J40" s="28">
        <v>46325</v>
      </c>
    </row>
    <row r="41" spans="1:10" ht="16.8">
      <c r="A41" s="3">
        <v>40</v>
      </c>
      <c r="B41" s="36" t="s">
        <v>100</v>
      </c>
      <c r="C41" s="23" t="s">
        <v>81</v>
      </c>
      <c r="D41" s="48">
        <v>46229</v>
      </c>
      <c r="E41" s="48">
        <v>46229</v>
      </c>
      <c r="F41" s="31"/>
      <c r="G41" s="28"/>
      <c r="H41" s="28">
        <v>46292</v>
      </c>
      <c r="I41" s="28"/>
      <c r="J41" s="28">
        <v>46292</v>
      </c>
    </row>
    <row r="42" spans="1:10" ht="16.8">
      <c r="A42" s="3">
        <v>41</v>
      </c>
      <c r="B42" s="36" t="s">
        <v>101</v>
      </c>
      <c r="C42" s="77" t="s">
        <v>102</v>
      </c>
      <c r="D42" s="48">
        <v>46229</v>
      </c>
      <c r="E42" s="48">
        <v>46229</v>
      </c>
      <c r="F42" s="28"/>
      <c r="G42" s="28"/>
      <c r="H42" s="48">
        <v>46229</v>
      </c>
      <c r="I42" s="28"/>
      <c r="J42" s="48">
        <v>46229</v>
      </c>
    </row>
    <row r="43" spans="1:10" ht="16.8">
      <c r="A43" s="3">
        <v>42</v>
      </c>
      <c r="B43" s="78" t="s">
        <v>103</v>
      </c>
      <c r="C43" s="77" t="s">
        <v>102</v>
      </c>
      <c r="D43" s="28">
        <v>46325</v>
      </c>
      <c r="E43" s="28">
        <v>46325</v>
      </c>
      <c r="F43" s="40"/>
      <c r="G43" s="28"/>
      <c r="H43" s="28">
        <v>46325</v>
      </c>
      <c r="I43" s="28"/>
      <c r="J43" s="28">
        <v>46325</v>
      </c>
    </row>
    <row r="44" spans="1:10" ht="16.8">
      <c r="A44" s="3">
        <v>43</v>
      </c>
      <c r="B44" s="78" t="s">
        <v>104</v>
      </c>
      <c r="C44" s="77" t="s">
        <v>102</v>
      </c>
      <c r="D44" s="28">
        <v>46325</v>
      </c>
      <c r="E44" s="28">
        <v>46325</v>
      </c>
      <c r="F44" s="79"/>
      <c r="G44" s="80"/>
      <c r="H44" s="28">
        <v>46325</v>
      </c>
      <c r="I44" s="80"/>
      <c r="J44" s="28">
        <v>46325</v>
      </c>
    </row>
    <row r="45" spans="1:10" ht="16.8">
      <c r="A45" s="3">
        <v>44</v>
      </c>
      <c r="B45" s="78" t="s">
        <v>105</v>
      </c>
      <c r="C45" s="77" t="s">
        <v>102</v>
      </c>
      <c r="D45" s="28">
        <v>46325</v>
      </c>
      <c r="E45" s="28">
        <v>46325</v>
      </c>
      <c r="F45" s="40"/>
      <c r="G45" s="28"/>
      <c r="H45" s="28">
        <v>46325</v>
      </c>
      <c r="I45" s="28"/>
      <c r="J45" s="28">
        <v>46325</v>
      </c>
    </row>
    <row r="46" spans="1:10" ht="16.8">
      <c r="A46" s="3">
        <v>45</v>
      </c>
      <c r="B46" s="78" t="s">
        <v>106</v>
      </c>
      <c r="C46" s="77" t="s">
        <v>102</v>
      </c>
      <c r="D46" s="28"/>
      <c r="E46" s="28"/>
      <c r="F46" s="40">
        <v>46378</v>
      </c>
      <c r="G46" s="40">
        <v>46378</v>
      </c>
      <c r="H46" s="28"/>
      <c r="I46" s="40">
        <v>46378</v>
      </c>
      <c r="J46" s="40">
        <v>46378</v>
      </c>
    </row>
    <row r="47" spans="1:10" ht="16.8">
      <c r="A47" s="3">
        <v>46</v>
      </c>
      <c r="B47" s="78" t="s">
        <v>107</v>
      </c>
      <c r="C47" s="23" t="s">
        <v>108</v>
      </c>
      <c r="D47" s="81"/>
      <c r="E47" s="28"/>
      <c r="F47" s="28">
        <v>46325</v>
      </c>
      <c r="G47" s="28">
        <v>46325</v>
      </c>
      <c r="H47" s="28">
        <v>46325</v>
      </c>
      <c r="I47" s="28">
        <v>46325</v>
      </c>
      <c r="J47" s="28">
        <v>46325</v>
      </c>
    </row>
    <row r="48" spans="1:10" ht="16.8">
      <c r="A48" s="3">
        <v>47</v>
      </c>
      <c r="B48" s="78" t="s">
        <v>109</v>
      </c>
      <c r="C48" s="77" t="s">
        <v>108</v>
      </c>
      <c r="D48" s="40"/>
      <c r="E48" s="40"/>
      <c r="F48" s="40">
        <v>46270</v>
      </c>
      <c r="G48" s="40">
        <v>46270</v>
      </c>
      <c r="H48" s="157" t="s">
        <v>227</v>
      </c>
      <c r="I48" s="40">
        <v>46270</v>
      </c>
      <c r="J48" s="40">
        <v>46270</v>
      </c>
    </row>
    <row r="49" spans="1:10" ht="16.8">
      <c r="A49" s="3">
        <v>48</v>
      </c>
      <c r="B49" s="3" t="s">
        <v>110</v>
      </c>
      <c r="C49" s="23" t="s">
        <v>108</v>
      </c>
      <c r="D49" s="48">
        <v>46229</v>
      </c>
      <c r="E49" s="48">
        <v>46229</v>
      </c>
      <c r="F49" s="28"/>
      <c r="G49" s="28"/>
      <c r="H49" s="75">
        <v>46053</v>
      </c>
      <c r="I49" s="28"/>
      <c r="J49" s="48">
        <v>46229</v>
      </c>
    </row>
    <row r="50" spans="1:10" ht="16.8">
      <c r="A50" s="3">
        <v>49</v>
      </c>
      <c r="B50" s="3" t="s">
        <v>111</v>
      </c>
      <c r="C50" s="23" t="s">
        <v>112</v>
      </c>
      <c r="D50" s="24">
        <v>46254</v>
      </c>
      <c r="E50" s="24">
        <v>46254</v>
      </c>
      <c r="F50" s="24">
        <v>46352</v>
      </c>
      <c r="G50" s="83"/>
      <c r="H50" s="28"/>
      <c r="I50" s="83"/>
      <c r="J50" s="24">
        <v>46352</v>
      </c>
    </row>
    <row r="51" spans="1:10" ht="16.8">
      <c r="A51" s="3">
        <v>50</v>
      </c>
      <c r="B51" s="3" t="s">
        <v>113</v>
      </c>
      <c r="C51" s="23" t="s">
        <v>112</v>
      </c>
      <c r="D51" s="40">
        <v>46283</v>
      </c>
      <c r="E51" s="40">
        <v>46283</v>
      </c>
      <c r="F51" s="42">
        <v>46376</v>
      </c>
      <c r="G51" s="82"/>
      <c r="H51" s="114"/>
      <c r="I51" s="82"/>
      <c r="J51" s="42">
        <v>46376</v>
      </c>
    </row>
    <row r="52" spans="1:10" ht="16.8">
      <c r="A52" s="3">
        <v>51</v>
      </c>
      <c r="B52" s="3" t="s">
        <v>114</v>
      </c>
      <c r="C52" s="23" t="s">
        <v>112</v>
      </c>
      <c r="D52" s="48">
        <v>46229</v>
      </c>
      <c r="E52" s="48">
        <v>46229</v>
      </c>
      <c r="F52" s="48">
        <v>46229</v>
      </c>
      <c r="G52" s="28"/>
      <c r="H52" s="114" t="s">
        <v>115</v>
      </c>
      <c r="I52" s="28"/>
      <c r="J52" s="48">
        <v>46229</v>
      </c>
    </row>
    <row r="53" spans="1:10" ht="16.8">
      <c r="A53" s="3">
        <v>52</v>
      </c>
      <c r="B53" s="3" t="s">
        <v>116</v>
      </c>
      <c r="C53" s="23" t="s">
        <v>117</v>
      </c>
      <c r="D53" s="28">
        <v>46325</v>
      </c>
      <c r="E53" s="28">
        <v>46325</v>
      </c>
      <c r="F53" s="28"/>
      <c r="G53" s="28"/>
      <c r="H53" s="28">
        <v>46325</v>
      </c>
      <c r="I53" s="28"/>
      <c r="J53" s="28">
        <v>46325</v>
      </c>
    </row>
    <row r="54" spans="1:10" ht="16.8">
      <c r="A54" s="3">
        <v>53</v>
      </c>
      <c r="B54" s="3" t="s">
        <v>118</v>
      </c>
      <c r="C54" s="23" t="s">
        <v>119</v>
      </c>
      <c r="D54" s="40">
        <v>46283</v>
      </c>
      <c r="E54" s="40">
        <v>46283</v>
      </c>
      <c r="F54" s="40">
        <v>46283</v>
      </c>
      <c r="G54" s="40"/>
      <c r="H54" s="28"/>
      <c r="I54" s="40"/>
      <c r="J54" s="40">
        <v>46283</v>
      </c>
    </row>
    <row r="55" spans="1:10" ht="16.8">
      <c r="A55" s="3">
        <v>54</v>
      </c>
      <c r="B55" s="3" t="s">
        <v>120</v>
      </c>
      <c r="C55" s="23" t="s">
        <v>119</v>
      </c>
      <c r="D55" s="48">
        <v>46229</v>
      </c>
      <c r="E55" s="48">
        <v>46229</v>
      </c>
      <c r="F55" s="48">
        <v>46229</v>
      </c>
      <c r="G55" s="28"/>
      <c r="H55" s="28"/>
      <c r="I55" s="28"/>
      <c r="J55" s="48">
        <v>46229</v>
      </c>
    </row>
    <row r="56" spans="1:10" ht="16.8">
      <c r="A56" s="3">
        <v>55</v>
      </c>
      <c r="B56" s="3" t="s">
        <v>121</v>
      </c>
      <c r="C56" s="23" t="s">
        <v>119</v>
      </c>
      <c r="D56" s="28">
        <v>46292</v>
      </c>
      <c r="E56" s="28">
        <v>46292</v>
      </c>
      <c r="F56" s="28">
        <v>46325</v>
      </c>
      <c r="G56" s="82"/>
      <c r="H56" s="26"/>
      <c r="I56" s="82"/>
      <c r="J56" s="42">
        <v>46376</v>
      </c>
    </row>
    <row r="57" spans="1:10" ht="16.8">
      <c r="A57" s="3">
        <v>56</v>
      </c>
      <c r="B57" s="85" t="s">
        <v>122</v>
      </c>
      <c r="C57" s="23" t="s">
        <v>112</v>
      </c>
      <c r="D57" s="41" t="s">
        <v>228</v>
      </c>
      <c r="E57" s="28">
        <v>46292</v>
      </c>
      <c r="F57" s="48">
        <v>46229</v>
      </c>
      <c r="G57" s="28"/>
      <c r="H57" s="28"/>
      <c r="I57" s="28"/>
      <c r="J57" s="28">
        <v>46292</v>
      </c>
    </row>
    <row r="58" spans="1:10" ht="16.8">
      <c r="A58" s="3">
        <v>57</v>
      </c>
      <c r="B58" s="3" t="s">
        <v>123</v>
      </c>
      <c r="C58" s="23" t="s">
        <v>119</v>
      </c>
      <c r="D58" s="28">
        <v>46325</v>
      </c>
      <c r="E58" s="28">
        <v>46325</v>
      </c>
      <c r="F58" s="24">
        <v>46254</v>
      </c>
      <c r="G58" s="83"/>
      <c r="H58" s="28"/>
      <c r="I58" s="83"/>
      <c r="J58" s="24">
        <v>46254</v>
      </c>
    </row>
    <row r="59" spans="1:10" ht="16.8">
      <c r="A59" s="3">
        <v>58</v>
      </c>
      <c r="B59" s="3" t="s">
        <v>124</v>
      </c>
      <c r="C59" s="23" t="s">
        <v>119</v>
      </c>
      <c r="D59" s="48">
        <v>46216</v>
      </c>
      <c r="E59" s="48">
        <v>46216</v>
      </c>
      <c r="F59" s="48">
        <v>46216</v>
      </c>
      <c r="G59" s="83"/>
      <c r="H59" s="28"/>
      <c r="I59" s="83"/>
      <c r="J59" s="24">
        <v>46254</v>
      </c>
    </row>
    <row r="60" spans="1:10" ht="16.8">
      <c r="A60" s="3">
        <v>59</v>
      </c>
      <c r="B60" s="3" t="s">
        <v>125</v>
      </c>
      <c r="C60" s="23" t="s">
        <v>126</v>
      </c>
      <c r="D60" s="24">
        <v>46254</v>
      </c>
      <c r="E60" s="24">
        <v>46254</v>
      </c>
      <c r="F60" s="24">
        <v>46254</v>
      </c>
      <c r="G60" s="40"/>
      <c r="H60" s="28"/>
      <c r="I60" s="40"/>
      <c r="J60" s="40">
        <v>46283</v>
      </c>
    </row>
    <row r="61" spans="1:10" ht="16.8">
      <c r="A61" s="3">
        <v>60</v>
      </c>
      <c r="B61" s="3" t="s">
        <v>127</v>
      </c>
      <c r="C61" s="66" t="s">
        <v>119</v>
      </c>
      <c r="D61" s="41"/>
      <c r="E61" s="41"/>
      <c r="F61" s="42">
        <v>46376</v>
      </c>
      <c r="G61" s="42">
        <v>46376</v>
      </c>
      <c r="H61" s="28"/>
      <c r="I61" s="42">
        <v>46376</v>
      </c>
      <c r="J61" s="42">
        <v>46376</v>
      </c>
    </row>
    <row r="62" spans="1:10" ht="16.8">
      <c r="A62" s="3">
        <v>61</v>
      </c>
      <c r="B62" s="3" t="s">
        <v>128</v>
      </c>
      <c r="C62" s="66" t="s">
        <v>119</v>
      </c>
      <c r="D62" s="41"/>
      <c r="E62" s="41"/>
      <c r="F62" s="42">
        <v>46376</v>
      </c>
      <c r="G62" s="42">
        <v>46376</v>
      </c>
      <c r="H62" s="28"/>
      <c r="I62" s="42">
        <v>46376</v>
      </c>
      <c r="J62" s="42">
        <v>46376</v>
      </c>
    </row>
    <row r="63" spans="1:10" ht="16.8">
      <c r="A63" s="3">
        <v>62</v>
      </c>
      <c r="B63" s="36" t="s">
        <v>129</v>
      </c>
      <c r="C63" s="23" t="s">
        <v>130</v>
      </c>
      <c r="D63" s="28">
        <v>46292</v>
      </c>
      <c r="E63" s="28">
        <v>46292</v>
      </c>
      <c r="F63" s="28">
        <v>46292</v>
      </c>
      <c r="G63" s="28"/>
      <c r="H63" s="28"/>
      <c r="I63" s="28"/>
      <c r="J63" s="28">
        <v>46292</v>
      </c>
    </row>
    <row r="64" spans="1:10" ht="16.8">
      <c r="A64" s="3">
        <v>63</v>
      </c>
      <c r="B64" s="3" t="s">
        <v>131</v>
      </c>
      <c r="C64" s="23" t="s">
        <v>130</v>
      </c>
      <c r="D64" s="48">
        <v>46216</v>
      </c>
      <c r="E64" s="48">
        <v>46216</v>
      </c>
      <c r="F64" s="48">
        <v>46216</v>
      </c>
      <c r="G64" s="82"/>
      <c r="H64" s="28"/>
      <c r="I64" s="82"/>
      <c r="J64" s="42">
        <v>46376</v>
      </c>
    </row>
    <row r="65" spans="1:10" ht="16.8">
      <c r="A65" s="3">
        <v>64</v>
      </c>
      <c r="B65" s="3" t="s">
        <v>132</v>
      </c>
      <c r="C65" s="23" t="s">
        <v>133</v>
      </c>
      <c r="D65" s="24">
        <v>46254</v>
      </c>
      <c r="E65" s="24">
        <v>46254</v>
      </c>
      <c r="F65" s="28">
        <v>46292</v>
      </c>
      <c r="G65" s="28"/>
      <c r="H65" s="26"/>
      <c r="I65" s="28"/>
      <c r="J65" s="28">
        <v>46292</v>
      </c>
    </row>
    <row r="66" spans="1:10" ht="16.8">
      <c r="A66" s="3">
        <v>65</v>
      </c>
      <c r="B66" s="3" t="s">
        <v>134</v>
      </c>
      <c r="C66" s="23" t="s">
        <v>135</v>
      </c>
      <c r="D66" s="42">
        <v>46376</v>
      </c>
      <c r="E66" s="42">
        <v>46376</v>
      </c>
      <c r="F66" s="24">
        <v>46254</v>
      </c>
      <c r="G66" s="83"/>
      <c r="H66" s="28"/>
      <c r="I66" s="83"/>
      <c r="J66" s="24">
        <v>46254</v>
      </c>
    </row>
    <row r="67" spans="1:10" ht="16.8">
      <c r="A67" s="3">
        <v>66</v>
      </c>
      <c r="B67" s="3" t="s">
        <v>136</v>
      </c>
      <c r="C67" s="23" t="s">
        <v>130</v>
      </c>
      <c r="D67" s="48">
        <v>46229</v>
      </c>
      <c r="E67" s="48">
        <v>46229</v>
      </c>
      <c r="F67" s="24">
        <v>46254</v>
      </c>
      <c r="G67" s="28"/>
      <c r="H67" s="28"/>
      <c r="I67" s="28"/>
      <c r="J67" s="48">
        <v>46229</v>
      </c>
    </row>
    <row r="68" spans="1:10" ht="16.8">
      <c r="A68" s="3">
        <v>67</v>
      </c>
      <c r="B68" s="3" t="s">
        <v>137</v>
      </c>
      <c r="C68" s="23" t="s">
        <v>130</v>
      </c>
      <c r="D68" s="24">
        <v>46254</v>
      </c>
      <c r="E68" s="24">
        <v>46254</v>
      </c>
      <c r="F68" s="24">
        <v>46254</v>
      </c>
      <c r="G68" s="83"/>
      <c r="H68" s="28"/>
      <c r="I68" s="83"/>
      <c r="J68" s="24">
        <v>46254</v>
      </c>
    </row>
    <row r="69" spans="1:10" ht="16.8">
      <c r="A69" s="3">
        <v>68</v>
      </c>
      <c r="B69" s="3" t="s">
        <v>138</v>
      </c>
      <c r="C69" s="23" t="s">
        <v>133</v>
      </c>
      <c r="D69" s="40">
        <v>46283</v>
      </c>
      <c r="E69" s="40">
        <v>46283</v>
      </c>
      <c r="F69" s="28">
        <v>46325</v>
      </c>
      <c r="G69" s="28"/>
      <c r="H69" s="28"/>
      <c r="I69" s="28"/>
      <c r="J69" s="28">
        <v>46325</v>
      </c>
    </row>
    <row r="70" spans="1:10" ht="16.8">
      <c r="A70" s="3">
        <v>69</v>
      </c>
      <c r="B70" s="3" t="s">
        <v>139</v>
      </c>
      <c r="C70" s="23" t="s">
        <v>133</v>
      </c>
      <c r="D70" s="40">
        <v>46283</v>
      </c>
      <c r="E70" s="40">
        <v>46283</v>
      </c>
      <c r="F70" s="24">
        <v>46352</v>
      </c>
      <c r="G70" s="83"/>
      <c r="H70" s="92"/>
      <c r="I70" s="83"/>
      <c r="J70" s="24">
        <v>46352</v>
      </c>
    </row>
    <row r="71" spans="1:10" ht="16.8">
      <c r="A71" s="3">
        <v>70</v>
      </c>
      <c r="B71" s="3" t="s">
        <v>140</v>
      </c>
      <c r="C71" s="23" t="s">
        <v>133</v>
      </c>
      <c r="D71" s="24">
        <v>46254</v>
      </c>
      <c r="E71" s="24">
        <v>46254</v>
      </c>
      <c r="F71" s="42">
        <v>46376</v>
      </c>
      <c r="G71" s="83"/>
      <c r="H71" s="28"/>
      <c r="I71" s="83"/>
      <c r="J71" s="24">
        <v>46254</v>
      </c>
    </row>
    <row r="72" spans="1:10" ht="16.8">
      <c r="A72" s="3">
        <v>71</v>
      </c>
      <c r="B72" s="3" t="s">
        <v>141</v>
      </c>
      <c r="C72" s="23" t="s">
        <v>130</v>
      </c>
      <c r="D72" s="48">
        <v>46197</v>
      </c>
      <c r="E72" s="48">
        <v>46197</v>
      </c>
      <c r="F72" s="40">
        <v>46283</v>
      </c>
      <c r="G72" s="40"/>
      <c r="H72" s="28"/>
      <c r="I72" s="40"/>
      <c r="J72" s="40">
        <v>46283</v>
      </c>
    </row>
    <row r="73" spans="1:10" ht="16.8">
      <c r="A73" s="3">
        <v>72</v>
      </c>
      <c r="B73" s="3" t="s">
        <v>142</v>
      </c>
      <c r="C73" s="23" t="s">
        <v>133</v>
      </c>
      <c r="D73" s="48">
        <v>46229</v>
      </c>
      <c r="E73" s="48">
        <v>46229</v>
      </c>
      <c r="F73" s="24">
        <v>46254</v>
      </c>
      <c r="G73" s="83"/>
      <c r="H73" s="28"/>
      <c r="I73" s="83"/>
      <c r="J73" s="24">
        <v>46254</v>
      </c>
    </row>
    <row r="74" spans="1:10" ht="16.8">
      <c r="A74" s="3">
        <v>73</v>
      </c>
      <c r="B74" s="3" t="s">
        <v>143</v>
      </c>
      <c r="C74" s="23" t="s">
        <v>135</v>
      </c>
      <c r="D74" s="24">
        <v>46254</v>
      </c>
      <c r="E74" s="24">
        <v>46254</v>
      </c>
      <c r="F74" s="40">
        <v>46283</v>
      </c>
      <c r="G74" s="40"/>
      <c r="H74" s="28"/>
      <c r="I74" s="40"/>
      <c r="J74" s="40">
        <v>46283</v>
      </c>
    </row>
    <row r="75" spans="1:10" ht="17.25" customHeight="1">
      <c r="A75" s="3">
        <v>74</v>
      </c>
      <c r="B75" s="3" t="s">
        <v>144</v>
      </c>
      <c r="C75" s="87" t="s">
        <v>145</v>
      </c>
      <c r="D75" s="24">
        <v>46254</v>
      </c>
      <c r="E75" s="24">
        <v>46254</v>
      </c>
      <c r="F75" s="28"/>
      <c r="G75" s="28"/>
      <c r="H75" s="28">
        <v>46292</v>
      </c>
      <c r="I75" s="28"/>
      <c r="J75" s="48">
        <v>46197</v>
      </c>
    </row>
    <row r="76" spans="1:10" ht="16.8">
      <c r="A76" s="3">
        <v>75</v>
      </c>
      <c r="B76" s="3" t="s">
        <v>146</v>
      </c>
      <c r="C76" s="66" t="s">
        <v>147</v>
      </c>
      <c r="D76" s="40">
        <v>46283</v>
      </c>
      <c r="E76" s="40">
        <v>46283</v>
      </c>
      <c r="F76" s="28"/>
      <c r="G76" s="83"/>
      <c r="H76" s="24">
        <v>46352</v>
      </c>
      <c r="I76" s="83"/>
      <c r="J76" s="24">
        <v>46352</v>
      </c>
    </row>
    <row r="77" spans="1:10" ht="16.8">
      <c r="A77" s="3">
        <v>76</v>
      </c>
      <c r="B77" s="3" t="s">
        <v>149</v>
      </c>
      <c r="C77" s="66" t="s">
        <v>147</v>
      </c>
      <c r="D77" s="40">
        <v>46283</v>
      </c>
      <c r="E77" s="40">
        <v>46283</v>
      </c>
      <c r="F77" s="28"/>
      <c r="G77" s="28"/>
      <c r="H77" s="28">
        <v>46325</v>
      </c>
      <c r="I77" s="28"/>
      <c r="J77" s="28">
        <v>46325</v>
      </c>
    </row>
    <row r="78" spans="1:10" ht="16.8">
      <c r="A78" s="3">
        <v>77</v>
      </c>
      <c r="B78" s="3" t="s">
        <v>150</v>
      </c>
      <c r="C78" s="66" t="s">
        <v>147</v>
      </c>
      <c r="D78" s="48">
        <v>46197</v>
      </c>
      <c r="E78" s="48">
        <v>46197</v>
      </c>
      <c r="F78" s="28"/>
      <c r="G78" s="28"/>
      <c r="H78" s="48">
        <v>46232</v>
      </c>
      <c r="I78" s="28"/>
      <c r="J78" s="28">
        <v>46292</v>
      </c>
    </row>
    <row r="79" spans="1:10" ht="16.8">
      <c r="A79" s="3">
        <v>78</v>
      </c>
      <c r="B79" s="3" t="s">
        <v>153</v>
      </c>
      <c r="C79" s="87" t="s">
        <v>70</v>
      </c>
      <c r="D79" s="24">
        <v>46254</v>
      </c>
      <c r="E79" s="24">
        <v>46254</v>
      </c>
      <c r="F79" s="28"/>
      <c r="G79" s="40"/>
      <c r="H79" s="40">
        <v>46283</v>
      </c>
      <c r="I79" s="40"/>
      <c r="J79" s="40">
        <v>46283</v>
      </c>
    </row>
    <row r="80" spans="1:10" ht="16.8">
      <c r="A80" s="3">
        <v>79</v>
      </c>
      <c r="B80" s="3" t="s">
        <v>155</v>
      </c>
      <c r="C80" s="87" t="s">
        <v>70</v>
      </c>
      <c r="D80" s="40">
        <v>46283</v>
      </c>
      <c r="E80" s="40">
        <v>46283</v>
      </c>
      <c r="F80" s="28"/>
      <c r="G80" s="28"/>
      <c r="H80" s="24">
        <v>46352</v>
      </c>
      <c r="I80" s="28"/>
      <c r="J80" s="28">
        <v>46325</v>
      </c>
    </row>
    <row r="81" spans="1:10" ht="16.8">
      <c r="A81" s="3">
        <v>80</v>
      </c>
      <c r="B81" s="3" t="s">
        <v>157</v>
      </c>
      <c r="C81" s="66" t="s">
        <v>70</v>
      </c>
      <c r="D81" s="24">
        <v>46254</v>
      </c>
      <c r="E81" s="24">
        <v>46254</v>
      </c>
      <c r="F81" s="28"/>
      <c r="G81" s="28"/>
      <c r="H81" s="28">
        <v>46292</v>
      </c>
      <c r="I81" s="28"/>
      <c r="J81" s="28">
        <v>46325</v>
      </c>
    </row>
    <row r="82" spans="1:10" ht="16.8">
      <c r="A82" s="3">
        <v>81</v>
      </c>
      <c r="B82" s="3" t="s">
        <v>159</v>
      </c>
      <c r="C82" s="87" t="s">
        <v>70</v>
      </c>
      <c r="D82" s="48">
        <v>46197</v>
      </c>
      <c r="E82" s="48">
        <v>46197</v>
      </c>
      <c r="F82" s="42">
        <v>46376</v>
      </c>
      <c r="G82" s="28"/>
      <c r="H82" s="28"/>
      <c r="I82" s="28"/>
      <c r="J82" s="48">
        <v>46229</v>
      </c>
    </row>
    <row r="83" spans="1:10" ht="16.8">
      <c r="A83" s="3">
        <v>82</v>
      </c>
      <c r="B83" s="90" t="s">
        <v>161</v>
      </c>
      <c r="C83" s="91" t="s">
        <v>61</v>
      </c>
      <c r="D83" s="28">
        <v>46292</v>
      </c>
      <c r="E83" s="28">
        <v>46292</v>
      </c>
      <c r="F83" s="92"/>
      <c r="G83" s="83"/>
      <c r="H83" s="28">
        <v>46292</v>
      </c>
      <c r="I83" s="83"/>
      <c r="J83" s="24">
        <v>46352</v>
      </c>
    </row>
    <row r="84" spans="1:10" ht="16.8">
      <c r="A84" s="3">
        <v>83</v>
      </c>
      <c r="B84" s="90" t="s">
        <v>164</v>
      </c>
      <c r="C84" s="23" t="s">
        <v>61</v>
      </c>
      <c r="D84" s="48">
        <v>46197</v>
      </c>
      <c r="E84" s="48">
        <v>46197</v>
      </c>
      <c r="F84" s="31"/>
      <c r="G84" s="82"/>
      <c r="H84" s="28">
        <v>46325</v>
      </c>
      <c r="I84" s="82"/>
      <c r="J84" s="42">
        <v>46376</v>
      </c>
    </row>
    <row r="85" spans="1:10" ht="13.2">
      <c r="C85" s="95"/>
      <c r="F85" s="96"/>
    </row>
    <row r="86" spans="1:10" ht="13.8">
      <c r="A86" s="204" t="s">
        <v>166</v>
      </c>
      <c r="B86" s="184"/>
      <c r="C86" s="95"/>
      <c r="E86" s="97"/>
      <c r="F86" s="97"/>
      <c r="G86" s="97"/>
      <c r="H86" s="97"/>
      <c r="I86" s="97"/>
      <c r="J86" s="97"/>
    </row>
    <row r="87" spans="1:10" ht="19.2">
      <c r="A87" s="99"/>
      <c r="B87" s="71" t="s">
        <v>168</v>
      </c>
      <c r="C87" s="95"/>
      <c r="D87" s="159" t="s">
        <v>169</v>
      </c>
      <c r="E87" s="160"/>
      <c r="F87" s="160"/>
      <c r="G87" s="160"/>
      <c r="H87" s="161"/>
      <c r="I87" s="160"/>
      <c r="J87" s="160"/>
    </row>
    <row r="88" spans="1:10" ht="17.399999999999999">
      <c r="A88" s="101"/>
      <c r="B88" s="71" t="s">
        <v>170</v>
      </c>
      <c r="C88" s="95"/>
      <c r="D88" s="102" t="s">
        <v>6</v>
      </c>
      <c r="E88" s="102" t="s">
        <v>171</v>
      </c>
      <c r="F88" s="162" t="s">
        <v>172</v>
      </c>
      <c r="G88" s="163"/>
      <c r="H88" s="102" t="s">
        <v>229</v>
      </c>
      <c r="I88" s="163"/>
      <c r="J88" s="165" t="s">
        <v>173</v>
      </c>
    </row>
    <row r="89" spans="1:10" ht="17.399999999999999">
      <c r="A89" s="104"/>
      <c r="B89" s="71" t="s">
        <v>174</v>
      </c>
      <c r="C89" s="95"/>
      <c r="D89" s="105">
        <v>1</v>
      </c>
      <c r="E89" s="106" t="s">
        <v>175</v>
      </c>
      <c r="F89" s="166">
        <v>0</v>
      </c>
      <c r="G89" s="166"/>
      <c r="H89" s="18">
        <f t="shared" ref="H89:H92" si="0">MIN(C89-G89)</f>
        <v>0</v>
      </c>
      <c r="I89" s="166"/>
      <c r="J89" s="167">
        <v>5</v>
      </c>
    </row>
    <row r="90" spans="1:10" ht="17.399999999999999">
      <c r="A90" s="107"/>
      <c r="B90" s="71" t="s">
        <v>176</v>
      </c>
      <c r="C90" s="95"/>
      <c r="D90" s="105">
        <v>2</v>
      </c>
      <c r="E90" s="106" t="s">
        <v>17</v>
      </c>
      <c r="F90" s="167">
        <v>2</v>
      </c>
      <c r="G90" s="166"/>
      <c r="H90" s="18">
        <f t="shared" si="0"/>
        <v>0</v>
      </c>
      <c r="I90" s="166"/>
      <c r="J90" s="167">
        <v>6</v>
      </c>
    </row>
    <row r="91" spans="1:10" ht="17.399999999999999">
      <c r="C91" s="95"/>
      <c r="D91" s="105">
        <v>3</v>
      </c>
      <c r="E91" s="106" t="s">
        <v>14</v>
      </c>
      <c r="F91" s="166">
        <v>15</v>
      </c>
      <c r="G91" s="166"/>
      <c r="H91" s="18">
        <f t="shared" si="0"/>
        <v>0</v>
      </c>
      <c r="I91" s="166"/>
      <c r="J91" s="167">
        <v>10</v>
      </c>
    </row>
    <row r="92" spans="1:10" ht="17.399999999999999">
      <c r="C92" s="95"/>
      <c r="D92" s="105">
        <v>4</v>
      </c>
      <c r="E92" s="106" t="s">
        <v>177</v>
      </c>
      <c r="F92" s="207">
        <v>0</v>
      </c>
      <c r="G92" s="168"/>
      <c r="H92" s="208">
        <f t="shared" si="0"/>
        <v>0</v>
      </c>
      <c r="I92" s="168"/>
      <c r="J92" s="231">
        <v>44</v>
      </c>
    </row>
    <row r="93" spans="1:10" ht="17.399999999999999">
      <c r="C93" s="95"/>
      <c r="D93" s="105">
        <v>5</v>
      </c>
      <c r="E93" s="106" t="s">
        <v>178</v>
      </c>
      <c r="F93" s="182"/>
      <c r="G93" s="168"/>
      <c r="H93" s="182"/>
      <c r="I93" s="168"/>
      <c r="J93" s="201"/>
    </row>
    <row r="94" spans="1:10" ht="13.2">
      <c r="C94" s="95"/>
      <c r="D94" s="19"/>
      <c r="E94" s="19"/>
      <c r="F94" s="19"/>
      <c r="G94" s="19"/>
      <c r="H94" s="19"/>
      <c r="I94" s="19"/>
      <c r="J94" s="19"/>
    </row>
    <row r="95" spans="1:10" ht="28.8">
      <c r="C95" s="95"/>
      <c r="D95" s="19"/>
      <c r="E95" s="169" t="s">
        <v>179</v>
      </c>
      <c r="F95" s="170"/>
      <c r="G95" s="170"/>
      <c r="H95" s="19"/>
      <c r="I95" s="170"/>
      <c r="J95" s="171"/>
    </row>
    <row r="96" spans="1:10" ht="28.8">
      <c r="C96" s="95"/>
      <c r="D96" s="19"/>
      <c r="E96" s="172"/>
      <c r="F96" s="173"/>
      <c r="G96" s="173"/>
      <c r="H96" s="19"/>
      <c r="I96" s="173"/>
      <c r="J96" s="174"/>
    </row>
    <row r="97" spans="1:10" ht="16.8">
      <c r="C97" s="95"/>
      <c r="D97" s="19"/>
      <c r="E97" s="175">
        <v>1</v>
      </c>
      <c r="F97" s="176" t="s">
        <v>180</v>
      </c>
      <c r="G97" s="175"/>
      <c r="H97" s="19"/>
      <c r="I97" s="175"/>
      <c r="J97" s="175">
        <v>4</v>
      </c>
    </row>
    <row r="98" spans="1:10" ht="16.8">
      <c r="C98" s="95"/>
      <c r="D98" s="19"/>
      <c r="E98" s="92">
        <v>2</v>
      </c>
      <c r="F98" s="113" t="s">
        <v>181</v>
      </c>
      <c r="G98" s="92"/>
      <c r="H98" s="19"/>
      <c r="I98" s="92"/>
      <c r="J98" s="92">
        <v>52</v>
      </c>
    </row>
    <row r="99" spans="1:10" ht="16.8">
      <c r="C99" s="95"/>
      <c r="D99" s="19"/>
      <c r="E99" s="92">
        <v>3</v>
      </c>
      <c r="F99" s="113" t="s">
        <v>182</v>
      </c>
      <c r="G99" s="92"/>
      <c r="H99" s="19"/>
      <c r="I99" s="92"/>
      <c r="J99" s="92">
        <v>7</v>
      </c>
    </row>
    <row r="100" spans="1:10" ht="16.8">
      <c r="C100" s="95"/>
      <c r="D100" s="19"/>
      <c r="E100" s="175">
        <v>4</v>
      </c>
      <c r="F100" s="113" t="s">
        <v>183</v>
      </c>
      <c r="G100" s="92"/>
      <c r="H100" s="19"/>
      <c r="I100" s="92"/>
      <c r="J100" s="92">
        <v>13</v>
      </c>
    </row>
    <row r="101" spans="1:10" ht="16.8">
      <c r="A101" s="53"/>
      <c r="B101" s="53"/>
      <c r="C101" s="115"/>
      <c r="D101" s="84"/>
      <c r="E101" s="175">
        <v>5</v>
      </c>
      <c r="F101" s="116" t="s">
        <v>184</v>
      </c>
      <c r="G101" s="31"/>
      <c r="H101" s="84"/>
      <c r="I101" s="31"/>
      <c r="J101" s="31"/>
    </row>
    <row r="102" spans="1:10" ht="16.8">
      <c r="A102" s="53"/>
      <c r="B102" s="53"/>
      <c r="C102" s="115"/>
      <c r="D102" s="177"/>
      <c r="E102" s="92">
        <v>6</v>
      </c>
      <c r="F102" s="120" t="s">
        <v>185</v>
      </c>
      <c r="G102" s="28"/>
      <c r="H102" s="177"/>
      <c r="I102" s="28"/>
      <c r="J102" s="28"/>
    </row>
    <row r="103" spans="1:10" ht="16.8">
      <c r="A103" s="53"/>
      <c r="B103" s="53"/>
      <c r="C103" s="115"/>
      <c r="D103" s="177"/>
      <c r="E103" s="92">
        <v>7</v>
      </c>
      <c r="F103" s="120" t="s">
        <v>186</v>
      </c>
      <c r="G103" s="28"/>
      <c r="H103" s="177"/>
      <c r="I103" s="28"/>
      <c r="J103" s="28"/>
    </row>
    <row r="104" spans="1:10" ht="16.8">
      <c r="A104" s="53"/>
      <c r="B104" s="53"/>
      <c r="C104" s="115"/>
      <c r="D104" s="121"/>
      <c r="E104" s="121"/>
      <c r="F104" s="80"/>
      <c r="G104" s="79"/>
      <c r="H104" s="80"/>
      <c r="I104" s="79"/>
      <c r="J104" s="79"/>
    </row>
    <row r="105" spans="1:10" ht="16.8">
      <c r="A105" s="53"/>
      <c r="B105" s="53"/>
      <c r="C105" s="115"/>
      <c r="D105" s="79"/>
      <c r="E105" s="79"/>
      <c r="F105" s="80"/>
      <c r="G105" s="122"/>
      <c r="H105" s="121"/>
      <c r="I105" s="122"/>
      <c r="J105" s="122"/>
    </row>
    <row r="106" spans="1:10" ht="16.8">
      <c r="A106" s="53"/>
      <c r="B106" s="53"/>
      <c r="C106" s="115"/>
      <c r="D106" s="80"/>
      <c r="E106" s="80"/>
      <c r="F106" s="80"/>
      <c r="G106" s="122"/>
      <c r="H106" s="122"/>
      <c r="I106" s="122"/>
      <c r="J106" s="122"/>
    </row>
    <row r="107" spans="1:10" ht="16.8">
      <c r="A107" s="53"/>
      <c r="B107" s="123"/>
      <c r="C107" s="115"/>
      <c r="D107" s="80"/>
      <c r="E107" s="80"/>
      <c r="F107" s="80"/>
      <c r="G107" s="80"/>
      <c r="H107" s="80"/>
      <c r="I107" s="80"/>
      <c r="J107" s="80"/>
    </row>
    <row r="108" spans="1:10" ht="16.8">
      <c r="A108" s="53"/>
      <c r="B108" s="53"/>
      <c r="C108" s="115"/>
      <c r="D108" s="121"/>
      <c r="E108" s="121"/>
      <c r="F108" s="80"/>
      <c r="G108" s="80"/>
      <c r="H108" s="121"/>
      <c r="I108" s="80"/>
      <c r="J108" s="80"/>
    </row>
    <row r="109" spans="1:10" ht="16.8">
      <c r="A109" s="53"/>
      <c r="B109" s="53"/>
      <c r="C109" s="115"/>
      <c r="D109" s="80"/>
      <c r="E109" s="80"/>
      <c r="F109" s="80"/>
      <c r="G109" s="80"/>
      <c r="H109" s="80"/>
      <c r="I109" s="80"/>
      <c r="J109" s="80"/>
    </row>
    <row r="110" spans="1:10" ht="16.8">
      <c r="A110" s="53"/>
      <c r="B110" s="53"/>
      <c r="C110" s="115"/>
      <c r="D110" s="79"/>
      <c r="E110" s="79"/>
      <c r="F110" s="80"/>
      <c r="G110" s="79"/>
      <c r="H110" s="79"/>
      <c r="I110" s="79"/>
      <c r="J110" s="79"/>
    </row>
    <row r="111" spans="1:10" ht="16.8">
      <c r="A111" s="53"/>
      <c r="B111" s="53"/>
      <c r="C111" s="115"/>
      <c r="D111" s="80"/>
      <c r="E111" s="80"/>
      <c r="F111" s="80"/>
      <c r="G111" s="80"/>
      <c r="H111" s="80"/>
      <c r="I111" s="80"/>
      <c r="J111" s="80"/>
    </row>
    <row r="112" spans="1:10" ht="16.8">
      <c r="A112" s="53"/>
      <c r="B112" s="53"/>
      <c r="C112" s="115"/>
      <c r="D112" s="80"/>
      <c r="E112" s="80"/>
      <c r="F112" s="80"/>
      <c r="G112" s="80"/>
      <c r="H112" s="80"/>
      <c r="I112" s="80"/>
      <c r="J112" s="80"/>
    </row>
    <row r="113" spans="1:10" ht="16.8">
      <c r="A113" s="53"/>
      <c r="B113" s="53"/>
      <c r="C113" s="115"/>
      <c r="D113" s="80"/>
      <c r="E113" s="80"/>
      <c r="F113" s="80"/>
      <c r="G113" s="80"/>
      <c r="H113" s="80"/>
      <c r="I113" s="80"/>
      <c r="J113" s="80"/>
    </row>
    <row r="114" spans="1:10" ht="16.8">
      <c r="A114" s="53"/>
      <c r="B114" s="123"/>
      <c r="C114" s="115"/>
      <c r="D114" s="79"/>
      <c r="E114" s="79"/>
      <c r="F114" s="80"/>
      <c r="G114" s="122"/>
      <c r="H114" s="80"/>
      <c r="I114" s="122"/>
      <c r="J114" s="122"/>
    </row>
    <row r="115" spans="1:10" ht="16.8">
      <c r="A115" s="53"/>
      <c r="B115" s="123"/>
      <c r="C115" s="115"/>
      <c r="D115" s="80"/>
      <c r="E115" s="80"/>
      <c r="F115" s="80"/>
      <c r="G115" s="80"/>
      <c r="H115" s="80"/>
      <c r="I115" s="80"/>
      <c r="J115" s="80"/>
    </row>
    <row r="116" spans="1:10" ht="16.8">
      <c r="A116" s="53"/>
      <c r="B116" s="123"/>
      <c r="C116" s="124"/>
      <c r="D116" s="80"/>
      <c r="E116" s="80"/>
      <c r="F116" s="80"/>
      <c r="G116" s="80"/>
      <c r="H116" s="80"/>
      <c r="I116" s="80"/>
      <c r="J116" s="80"/>
    </row>
    <row r="117" spans="1:10" ht="16.8">
      <c r="A117" s="53"/>
      <c r="B117" s="123"/>
      <c r="C117" s="124"/>
      <c r="D117" s="79"/>
      <c r="E117" s="79"/>
      <c r="F117" s="79"/>
      <c r="G117" s="79"/>
      <c r="H117" s="79"/>
      <c r="I117" s="79"/>
      <c r="J117" s="79"/>
    </row>
    <row r="118" spans="1:10" ht="16.8">
      <c r="A118" s="53"/>
      <c r="B118" s="123"/>
      <c r="C118" s="124"/>
      <c r="D118" s="79"/>
      <c r="E118" s="79"/>
      <c r="F118" s="79"/>
      <c r="G118" s="79"/>
      <c r="H118" s="79"/>
      <c r="I118" s="79"/>
      <c r="J118" s="79"/>
    </row>
    <row r="119" spans="1:10" ht="16.8">
      <c r="A119" s="53"/>
      <c r="B119" s="123"/>
      <c r="C119" s="124"/>
      <c r="D119" s="79"/>
      <c r="E119" s="79"/>
      <c r="F119" s="79"/>
      <c r="G119" s="79"/>
      <c r="H119" s="79"/>
      <c r="I119" s="79"/>
      <c r="J119" s="79"/>
    </row>
    <row r="120" spans="1:10" ht="13.2">
      <c r="C120" s="95"/>
      <c r="E120" s="125"/>
      <c r="F120" s="126"/>
      <c r="G120" s="125"/>
      <c r="H120" s="127"/>
      <c r="I120" s="125"/>
      <c r="J120" s="125"/>
    </row>
    <row r="121" spans="1:10" ht="13.2">
      <c r="C121" s="95"/>
      <c r="E121" s="125"/>
      <c r="F121" s="126"/>
      <c r="G121" s="127"/>
      <c r="H121" s="127"/>
      <c r="I121" s="127"/>
      <c r="J121" s="127"/>
    </row>
    <row r="122" spans="1:10" ht="13.2">
      <c r="C122" s="95"/>
      <c r="E122" s="125"/>
      <c r="F122" s="126"/>
      <c r="G122" s="125"/>
      <c r="H122" s="127"/>
      <c r="I122" s="125"/>
      <c r="J122" s="125"/>
    </row>
    <row r="123" spans="1:10" ht="13.2">
      <c r="C123" s="95"/>
      <c r="E123" s="125"/>
      <c r="F123" s="126"/>
      <c r="G123" s="125"/>
      <c r="H123" s="127"/>
      <c r="I123" s="125"/>
      <c r="J123" s="125"/>
    </row>
    <row r="124" spans="1:10" ht="13.2">
      <c r="C124" s="95"/>
      <c r="E124" s="125"/>
      <c r="F124" s="126"/>
      <c r="G124" s="125"/>
      <c r="H124" s="127"/>
      <c r="I124" s="125"/>
      <c r="J124" s="125"/>
    </row>
    <row r="125" spans="1:10" ht="13.2">
      <c r="C125" s="95"/>
      <c r="E125" s="125"/>
      <c r="F125" s="126"/>
      <c r="G125" s="125"/>
      <c r="H125" s="127"/>
      <c r="I125" s="125"/>
      <c r="J125" s="125"/>
    </row>
    <row r="126" spans="1:10" ht="13.2">
      <c r="C126" s="95"/>
      <c r="E126" s="125"/>
      <c r="F126" s="126"/>
      <c r="G126" s="125"/>
      <c r="H126" s="127"/>
      <c r="I126" s="125"/>
      <c r="J126" s="125"/>
    </row>
    <row r="127" spans="1:10" ht="13.2">
      <c r="C127" s="95"/>
      <c r="E127" s="125"/>
      <c r="F127" s="126"/>
      <c r="G127" s="125"/>
      <c r="H127" s="127"/>
      <c r="I127" s="125"/>
      <c r="J127" s="125"/>
    </row>
    <row r="128" spans="1:10" ht="13.2">
      <c r="C128" s="95"/>
      <c r="E128" s="125"/>
      <c r="F128" s="126"/>
      <c r="G128" s="125"/>
      <c r="H128" s="127"/>
      <c r="I128" s="125"/>
      <c r="J128" s="125"/>
    </row>
    <row r="129" spans="3:3" ht="13.2">
      <c r="C129" s="95"/>
    </row>
    <row r="130" spans="3:3" ht="13.2">
      <c r="C130" s="95"/>
    </row>
    <row r="131" spans="3:3" ht="13.2">
      <c r="C131" s="95"/>
    </row>
    <row r="132" spans="3:3" ht="13.2">
      <c r="C132" s="95"/>
    </row>
    <row r="133" spans="3:3" ht="13.2">
      <c r="C133" s="95"/>
    </row>
    <row r="134" spans="3:3" ht="13.2">
      <c r="C134" s="95"/>
    </row>
    <row r="135" spans="3:3" ht="13.2">
      <c r="C135" s="95"/>
    </row>
    <row r="136" spans="3:3" ht="13.2">
      <c r="C136" s="95"/>
    </row>
    <row r="137" spans="3:3" ht="13.2">
      <c r="C137" s="95"/>
    </row>
    <row r="138" spans="3:3" ht="13.2">
      <c r="C138" s="95"/>
    </row>
    <row r="139" spans="3:3" ht="13.2">
      <c r="C139" s="95"/>
    </row>
    <row r="140" spans="3:3" ht="13.2">
      <c r="C140" s="95"/>
    </row>
    <row r="141" spans="3:3" ht="13.2">
      <c r="C141" s="95"/>
    </row>
    <row r="142" spans="3:3" ht="13.2">
      <c r="C142" s="95"/>
    </row>
    <row r="143" spans="3:3" ht="13.2">
      <c r="C143" s="95"/>
    </row>
    <row r="144" spans="3:3" ht="13.2">
      <c r="C144" s="95"/>
    </row>
    <row r="145" spans="3:3" ht="13.2">
      <c r="C145" s="95"/>
    </row>
    <row r="146" spans="3:3" ht="13.2">
      <c r="C146" s="95"/>
    </row>
    <row r="147" spans="3:3" ht="13.2">
      <c r="C147" s="95"/>
    </row>
    <row r="148" spans="3:3" ht="13.2">
      <c r="C148" s="95"/>
    </row>
    <row r="149" spans="3:3" ht="13.2">
      <c r="C149" s="95"/>
    </row>
    <row r="150" spans="3:3" ht="13.2">
      <c r="C150" s="95"/>
    </row>
    <row r="151" spans="3:3" ht="13.2">
      <c r="C151" s="95"/>
    </row>
    <row r="152" spans="3:3" ht="13.2">
      <c r="C152" s="95"/>
    </row>
    <row r="153" spans="3:3" ht="13.2">
      <c r="C153" s="95"/>
    </row>
    <row r="154" spans="3:3" ht="13.2">
      <c r="C154" s="95"/>
    </row>
    <row r="155" spans="3:3" ht="13.2">
      <c r="C155" s="95"/>
    </row>
    <row r="156" spans="3:3" ht="13.2">
      <c r="C156" s="95"/>
    </row>
    <row r="157" spans="3:3" ht="13.2">
      <c r="C157" s="95"/>
    </row>
    <row r="158" spans="3:3" ht="13.2">
      <c r="C158" s="95"/>
    </row>
    <row r="159" spans="3:3" ht="13.2">
      <c r="C159" s="95"/>
    </row>
    <row r="160" spans="3:3" ht="13.2">
      <c r="C160" s="95"/>
    </row>
    <row r="161" spans="3:3" ht="13.2">
      <c r="C161" s="95"/>
    </row>
    <row r="162" spans="3:3" ht="13.2">
      <c r="C162" s="95"/>
    </row>
    <row r="163" spans="3:3" ht="13.2">
      <c r="C163" s="95"/>
    </row>
    <row r="164" spans="3:3" ht="13.2">
      <c r="C164" s="95"/>
    </row>
    <row r="165" spans="3:3" ht="13.2">
      <c r="C165" s="95"/>
    </row>
    <row r="166" spans="3:3" ht="13.2">
      <c r="C166" s="95"/>
    </row>
    <row r="167" spans="3:3" ht="13.2">
      <c r="C167" s="95"/>
    </row>
    <row r="168" spans="3:3" ht="13.2">
      <c r="C168" s="95"/>
    </row>
    <row r="169" spans="3:3" ht="13.2">
      <c r="C169" s="95"/>
    </row>
    <row r="170" spans="3:3" ht="13.2">
      <c r="C170" s="95"/>
    </row>
    <row r="171" spans="3:3" ht="13.2">
      <c r="C171" s="95"/>
    </row>
    <row r="172" spans="3:3" ht="13.2">
      <c r="C172" s="95"/>
    </row>
    <row r="173" spans="3:3" ht="13.2">
      <c r="C173" s="95"/>
    </row>
    <row r="174" spans="3:3" ht="13.2">
      <c r="C174" s="95"/>
    </row>
    <row r="175" spans="3:3" ht="13.2">
      <c r="C175" s="95"/>
    </row>
    <row r="176" spans="3:3" ht="13.2">
      <c r="C176" s="95"/>
    </row>
    <row r="177" spans="3:3" ht="13.2">
      <c r="C177" s="95"/>
    </row>
    <row r="178" spans="3:3" ht="13.2">
      <c r="C178" s="95"/>
    </row>
    <row r="179" spans="3:3" ht="13.2">
      <c r="C179" s="95"/>
    </row>
    <row r="180" spans="3:3" ht="13.2">
      <c r="C180" s="95"/>
    </row>
    <row r="181" spans="3:3" ht="13.2">
      <c r="C181" s="95"/>
    </row>
    <row r="182" spans="3:3" ht="13.2">
      <c r="C182" s="95"/>
    </row>
    <row r="183" spans="3:3" ht="13.2">
      <c r="C183" s="95"/>
    </row>
    <row r="184" spans="3:3" ht="13.2">
      <c r="C184" s="95"/>
    </row>
    <row r="185" spans="3:3" ht="13.2">
      <c r="C185" s="95"/>
    </row>
    <row r="186" spans="3:3" ht="13.2">
      <c r="C186" s="95"/>
    </row>
    <row r="187" spans="3:3" ht="13.2">
      <c r="C187" s="95"/>
    </row>
    <row r="188" spans="3:3" ht="13.2">
      <c r="C188" s="95"/>
    </row>
    <row r="189" spans="3:3" ht="13.2">
      <c r="C189" s="95"/>
    </row>
    <row r="190" spans="3:3" ht="13.2">
      <c r="C190" s="95"/>
    </row>
    <row r="191" spans="3:3" ht="13.2">
      <c r="C191" s="95"/>
    </row>
    <row r="192" spans="3:3" ht="13.2">
      <c r="C192" s="95"/>
    </row>
    <row r="193" spans="3:3" ht="13.2">
      <c r="C193" s="95"/>
    </row>
    <row r="194" spans="3:3" ht="13.2">
      <c r="C194" s="95"/>
    </row>
    <row r="195" spans="3:3" ht="13.2">
      <c r="C195" s="95"/>
    </row>
    <row r="196" spans="3:3" ht="13.2">
      <c r="C196" s="95"/>
    </row>
    <row r="197" spans="3:3" ht="13.2">
      <c r="C197" s="95"/>
    </row>
    <row r="198" spans="3:3" ht="13.2">
      <c r="C198" s="95"/>
    </row>
    <row r="199" spans="3:3" ht="13.2">
      <c r="C199" s="95"/>
    </row>
    <row r="200" spans="3:3" ht="13.2">
      <c r="C200" s="95"/>
    </row>
    <row r="201" spans="3:3" ht="13.2">
      <c r="C201" s="95"/>
    </row>
    <row r="202" spans="3:3" ht="13.2">
      <c r="C202" s="95"/>
    </row>
    <row r="203" spans="3:3" ht="13.2">
      <c r="C203" s="95"/>
    </row>
    <row r="204" spans="3:3" ht="13.2">
      <c r="C204" s="95"/>
    </row>
    <row r="205" spans="3:3" ht="13.2">
      <c r="C205" s="95"/>
    </row>
    <row r="206" spans="3:3" ht="13.2">
      <c r="C206" s="95"/>
    </row>
    <row r="207" spans="3:3" ht="13.2">
      <c r="C207" s="95"/>
    </row>
    <row r="208" spans="3:3" ht="13.2">
      <c r="C208" s="95"/>
    </row>
    <row r="209" spans="3:3" ht="13.2">
      <c r="C209" s="95"/>
    </row>
    <row r="210" spans="3:3" ht="13.2">
      <c r="C210" s="95"/>
    </row>
    <row r="211" spans="3:3" ht="13.2">
      <c r="C211" s="95"/>
    </row>
    <row r="212" spans="3:3" ht="13.2">
      <c r="C212" s="95"/>
    </row>
    <row r="213" spans="3:3" ht="13.2">
      <c r="C213" s="95"/>
    </row>
    <row r="214" spans="3:3" ht="13.2">
      <c r="C214" s="95"/>
    </row>
    <row r="215" spans="3:3" ht="13.2">
      <c r="C215" s="95"/>
    </row>
    <row r="216" spans="3:3" ht="13.2">
      <c r="C216" s="95"/>
    </row>
    <row r="217" spans="3:3" ht="13.2">
      <c r="C217" s="95"/>
    </row>
    <row r="218" spans="3:3" ht="13.2">
      <c r="C218" s="95"/>
    </row>
    <row r="219" spans="3:3" ht="13.2">
      <c r="C219" s="95"/>
    </row>
    <row r="220" spans="3:3" ht="13.2">
      <c r="C220" s="95"/>
    </row>
    <row r="221" spans="3:3" ht="13.2">
      <c r="C221" s="95"/>
    </row>
    <row r="222" spans="3:3" ht="13.2">
      <c r="C222" s="95"/>
    </row>
    <row r="223" spans="3:3" ht="13.2">
      <c r="C223" s="95"/>
    </row>
    <row r="224" spans="3:3" ht="13.2">
      <c r="C224" s="95"/>
    </row>
    <row r="225" spans="3:3" ht="13.2">
      <c r="C225" s="95"/>
    </row>
    <row r="226" spans="3:3" ht="13.2">
      <c r="C226" s="95"/>
    </row>
    <row r="227" spans="3:3" ht="13.2">
      <c r="C227" s="95"/>
    </row>
    <row r="228" spans="3:3" ht="13.2">
      <c r="C228" s="95"/>
    </row>
    <row r="229" spans="3:3" ht="13.2">
      <c r="C229" s="95"/>
    </row>
    <row r="230" spans="3:3" ht="13.2">
      <c r="C230" s="95"/>
    </row>
    <row r="231" spans="3:3" ht="13.2">
      <c r="C231" s="95"/>
    </row>
    <row r="232" spans="3:3" ht="13.2">
      <c r="C232" s="95"/>
    </row>
    <row r="233" spans="3:3" ht="13.2">
      <c r="C233" s="95"/>
    </row>
    <row r="234" spans="3:3" ht="13.2">
      <c r="C234" s="95"/>
    </row>
    <row r="235" spans="3:3" ht="13.2">
      <c r="C235" s="95"/>
    </row>
    <row r="236" spans="3:3" ht="13.2">
      <c r="C236" s="95"/>
    </row>
    <row r="237" spans="3:3" ht="13.2">
      <c r="C237" s="95"/>
    </row>
    <row r="238" spans="3:3" ht="13.2">
      <c r="C238" s="95"/>
    </row>
    <row r="239" spans="3:3" ht="13.2">
      <c r="C239" s="95"/>
    </row>
    <row r="240" spans="3:3" ht="13.2">
      <c r="C240" s="95"/>
    </row>
    <row r="241" spans="3:3" ht="13.2">
      <c r="C241" s="95"/>
    </row>
    <row r="242" spans="3:3" ht="13.2">
      <c r="C242" s="95"/>
    </row>
    <row r="243" spans="3:3" ht="13.2">
      <c r="C243" s="95"/>
    </row>
    <row r="244" spans="3:3" ht="13.2">
      <c r="C244" s="95"/>
    </row>
    <row r="245" spans="3:3" ht="13.2">
      <c r="C245" s="95"/>
    </row>
    <row r="246" spans="3:3" ht="13.2">
      <c r="C246" s="95"/>
    </row>
    <row r="247" spans="3:3" ht="13.2">
      <c r="C247" s="95"/>
    </row>
    <row r="248" spans="3:3" ht="13.2">
      <c r="C248" s="95"/>
    </row>
    <row r="249" spans="3:3" ht="13.2">
      <c r="C249" s="95"/>
    </row>
    <row r="250" spans="3:3" ht="13.2">
      <c r="C250" s="95"/>
    </row>
    <row r="251" spans="3:3" ht="13.2">
      <c r="C251" s="95"/>
    </row>
    <row r="252" spans="3:3" ht="13.2">
      <c r="C252" s="95"/>
    </row>
    <row r="253" spans="3:3" ht="13.2">
      <c r="C253" s="95"/>
    </row>
    <row r="254" spans="3:3" ht="13.2">
      <c r="C254" s="95"/>
    </row>
    <row r="255" spans="3:3" ht="13.2">
      <c r="C255" s="95"/>
    </row>
    <row r="256" spans="3:3" ht="13.2">
      <c r="C256" s="95"/>
    </row>
    <row r="257" spans="3:3" ht="13.2">
      <c r="C257" s="95"/>
    </row>
    <row r="258" spans="3:3" ht="13.2">
      <c r="C258" s="95"/>
    </row>
    <row r="259" spans="3:3" ht="13.2">
      <c r="C259" s="95"/>
    </row>
    <row r="260" spans="3:3" ht="13.2">
      <c r="C260" s="95"/>
    </row>
    <row r="261" spans="3:3" ht="13.2">
      <c r="C261" s="95"/>
    </row>
    <row r="262" spans="3:3" ht="13.2">
      <c r="C262" s="95"/>
    </row>
    <row r="263" spans="3:3" ht="13.2">
      <c r="C263" s="95"/>
    </row>
    <row r="264" spans="3:3" ht="13.2">
      <c r="C264" s="95"/>
    </row>
    <row r="265" spans="3:3" ht="13.2">
      <c r="C265" s="95"/>
    </row>
    <row r="266" spans="3:3" ht="13.2">
      <c r="C266" s="95"/>
    </row>
    <row r="267" spans="3:3" ht="13.2">
      <c r="C267" s="95"/>
    </row>
    <row r="268" spans="3:3" ht="13.2">
      <c r="C268" s="95"/>
    </row>
    <row r="269" spans="3:3" ht="13.2">
      <c r="C269" s="95"/>
    </row>
    <row r="270" spans="3:3" ht="13.2">
      <c r="C270" s="95"/>
    </row>
    <row r="271" spans="3:3" ht="13.2">
      <c r="C271" s="95"/>
    </row>
    <row r="272" spans="3:3" ht="13.2">
      <c r="C272" s="95"/>
    </row>
    <row r="273" spans="3:3" ht="13.2">
      <c r="C273" s="95"/>
    </row>
    <row r="274" spans="3:3" ht="13.2">
      <c r="C274" s="95"/>
    </row>
    <row r="275" spans="3:3" ht="13.2">
      <c r="C275" s="95"/>
    </row>
    <row r="276" spans="3:3" ht="13.2">
      <c r="C276" s="95"/>
    </row>
    <row r="277" spans="3:3" ht="13.2">
      <c r="C277" s="95"/>
    </row>
    <row r="278" spans="3:3" ht="13.2">
      <c r="C278" s="95"/>
    </row>
    <row r="279" spans="3:3" ht="13.2">
      <c r="C279" s="95"/>
    </row>
    <row r="280" spans="3:3" ht="13.2">
      <c r="C280" s="95"/>
    </row>
    <row r="281" spans="3:3" ht="13.2">
      <c r="C281" s="95"/>
    </row>
    <row r="282" spans="3:3" ht="13.2">
      <c r="C282" s="95"/>
    </row>
    <row r="283" spans="3:3" ht="13.2">
      <c r="C283" s="95"/>
    </row>
    <row r="284" spans="3:3" ht="13.2">
      <c r="C284" s="95"/>
    </row>
    <row r="285" spans="3:3" ht="13.2">
      <c r="C285" s="95"/>
    </row>
    <row r="286" spans="3:3" ht="13.2">
      <c r="C286" s="95"/>
    </row>
    <row r="287" spans="3:3" ht="13.2">
      <c r="C287" s="95"/>
    </row>
    <row r="288" spans="3:3" ht="13.2">
      <c r="C288" s="95"/>
    </row>
    <row r="289" spans="3:3" ht="13.2">
      <c r="C289" s="95"/>
    </row>
    <row r="290" spans="3:3" ht="13.2">
      <c r="C290" s="95"/>
    </row>
    <row r="291" spans="3:3" ht="13.2">
      <c r="C291" s="95"/>
    </row>
    <row r="292" spans="3:3" ht="13.2">
      <c r="C292" s="95"/>
    </row>
    <row r="293" spans="3:3" ht="13.2">
      <c r="C293" s="95"/>
    </row>
    <row r="294" spans="3:3" ht="13.2">
      <c r="C294" s="95"/>
    </row>
    <row r="295" spans="3:3" ht="13.2">
      <c r="C295" s="95"/>
    </row>
    <row r="296" spans="3:3" ht="13.2">
      <c r="C296" s="95"/>
    </row>
    <row r="297" spans="3:3" ht="13.2">
      <c r="C297" s="95"/>
    </row>
    <row r="298" spans="3:3" ht="13.2">
      <c r="C298" s="95"/>
    </row>
    <row r="299" spans="3:3" ht="13.2">
      <c r="C299" s="95"/>
    </row>
    <row r="300" spans="3:3" ht="13.2">
      <c r="C300" s="95"/>
    </row>
    <row r="301" spans="3:3" ht="13.2">
      <c r="C301" s="95"/>
    </row>
    <row r="302" spans="3:3" ht="13.2">
      <c r="C302" s="95"/>
    </row>
    <row r="303" spans="3:3" ht="13.2">
      <c r="C303" s="95"/>
    </row>
    <row r="304" spans="3:3" ht="13.2">
      <c r="C304" s="95"/>
    </row>
    <row r="305" spans="3:3" ht="13.2">
      <c r="C305" s="95"/>
    </row>
    <row r="306" spans="3:3" ht="13.2">
      <c r="C306" s="95"/>
    </row>
    <row r="307" spans="3:3" ht="13.2">
      <c r="C307" s="95"/>
    </row>
    <row r="308" spans="3:3" ht="13.2">
      <c r="C308" s="95"/>
    </row>
    <row r="309" spans="3:3" ht="13.2">
      <c r="C309" s="95"/>
    </row>
    <row r="310" spans="3:3" ht="13.2">
      <c r="C310" s="95"/>
    </row>
    <row r="311" spans="3:3" ht="13.2">
      <c r="C311" s="95"/>
    </row>
    <row r="312" spans="3:3" ht="13.2">
      <c r="C312" s="95"/>
    </row>
    <row r="313" spans="3:3" ht="13.2">
      <c r="C313" s="95"/>
    </row>
    <row r="314" spans="3:3" ht="13.2">
      <c r="C314" s="95"/>
    </row>
    <row r="315" spans="3:3" ht="13.2">
      <c r="C315" s="95"/>
    </row>
    <row r="316" spans="3:3" ht="13.2">
      <c r="C316" s="95"/>
    </row>
    <row r="317" spans="3:3" ht="13.2">
      <c r="C317" s="95"/>
    </row>
    <row r="318" spans="3:3" ht="13.2">
      <c r="C318" s="95"/>
    </row>
    <row r="319" spans="3:3" ht="13.2">
      <c r="C319" s="95"/>
    </row>
    <row r="320" spans="3:3" ht="13.2">
      <c r="C320" s="95"/>
    </row>
    <row r="321" spans="3:3" ht="13.2">
      <c r="C321" s="95"/>
    </row>
    <row r="322" spans="3:3" ht="13.2">
      <c r="C322" s="95"/>
    </row>
    <row r="323" spans="3:3" ht="13.2">
      <c r="C323" s="95"/>
    </row>
    <row r="324" spans="3:3" ht="13.2">
      <c r="C324" s="95"/>
    </row>
    <row r="325" spans="3:3" ht="13.2">
      <c r="C325" s="95"/>
    </row>
    <row r="326" spans="3:3" ht="13.2">
      <c r="C326" s="95"/>
    </row>
    <row r="327" spans="3:3" ht="13.2">
      <c r="C327" s="95"/>
    </row>
    <row r="328" spans="3:3" ht="13.2">
      <c r="C328" s="95"/>
    </row>
    <row r="329" spans="3:3" ht="13.2">
      <c r="C329" s="95"/>
    </row>
    <row r="330" spans="3:3" ht="13.2">
      <c r="C330" s="95"/>
    </row>
    <row r="331" spans="3:3" ht="13.2">
      <c r="C331" s="95"/>
    </row>
    <row r="332" spans="3:3" ht="13.2">
      <c r="C332" s="95"/>
    </row>
    <row r="333" spans="3:3" ht="13.2">
      <c r="C333" s="95"/>
    </row>
    <row r="334" spans="3:3" ht="13.2">
      <c r="C334" s="95"/>
    </row>
    <row r="335" spans="3:3" ht="13.2">
      <c r="C335" s="95"/>
    </row>
    <row r="336" spans="3:3" ht="13.2">
      <c r="C336" s="95"/>
    </row>
    <row r="337" spans="3:3" ht="13.2">
      <c r="C337" s="95"/>
    </row>
    <row r="338" spans="3:3" ht="13.2">
      <c r="C338" s="95"/>
    </row>
    <row r="339" spans="3:3" ht="13.2">
      <c r="C339" s="95"/>
    </row>
    <row r="340" spans="3:3" ht="13.2">
      <c r="C340" s="95"/>
    </row>
    <row r="341" spans="3:3" ht="13.2">
      <c r="C341" s="95"/>
    </row>
    <row r="342" spans="3:3" ht="13.2">
      <c r="C342" s="95"/>
    </row>
    <row r="343" spans="3:3" ht="13.2">
      <c r="C343" s="95"/>
    </row>
    <row r="344" spans="3:3" ht="13.2">
      <c r="C344" s="95"/>
    </row>
    <row r="345" spans="3:3" ht="13.2">
      <c r="C345" s="95"/>
    </row>
    <row r="346" spans="3:3" ht="13.2">
      <c r="C346" s="95"/>
    </row>
    <row r="347" spans="3:3" ht="13.2">
      <c r="C347" s="95"/>
    </row>
    <row r="348" spans="3:3" ht="13.2">
      <c r="C348" s="95"/>
    </row>
    <row r="349" spans="3:3" ht="13.2">
      <c r="C349" s="95"/>
    </row>
    <row r="350" spans="3:3" ht="13.2">
      <c r="C350" s="95"/>
    </row>
    <row r="351" spans="3:3" ht="13.2">
      <c r="C351" s="95"/>
    </row>
    <row r="352" spans="3:3" ht="13.2">
      <c r="C352" s="95"/>
    </row>
    <row r="353" spans="3:3" ht="13.2">
      <c r="C353" s="95"/>
    </row>
    <row r="354" spans="3:3" ht="13.2">
      <c r="C354" s="95"/>
    </row>
    <row r="355" spans="3:3" ht="13.2">
      <c r="C355" s="95"/>
    </row>
    <row r="356" spans="3:3" ht="13.2">
      <c r="C356" s="95"/>
    </row>
    <row r="357" spans="3:3" ht="13.2">
      <c r="C357" s="95"/>
    </row>
    <row r="358" spans="3:3" ht="13.2">
      <c r="C358" s="95"/>
    </row>
    <row r="359" spans="3:3" ht="13.2">
      <c r="C359" s="95"/>
    </row>
    <row r="360" spans="3:3" ht="13.2">
      <c r="C360" s="95"/>
    </row>
    <row r="361" spans="3:3" ht="13.2">
      <c r="C361" s="95"/>
    </row>
    <row r="362" spans="3:3" ht="13.2">
      <c r="C362" s="95"/>
    </row>
    <row r="363" spans="3:3" ht="13.2">
      <c r="C363" s="95"/>
    </row>
    <row r="364" spans="3:3" ht="13.2">
      <c r="C364" s="95"/>
    </row>
    <row r="365" spans="3:3" ht="13.2">
      <c r="C365" s="95"/>
    </row>
    <row r="366" spans="3:3" ht="13.2">
      <c r="C366" s="95"/>
    </row>
    <row r="367" spans="3:3" ht="13.2">
      <c r="C367" s="95"/>
    </row>
    <row r="368" spans="3:3" ht="13.2">
      <c r="C368" s="95"/>
    </row>
    <row r="369" spans="3:3" ht="13.2">
      <c r="C369" s="95"/>
    </row>
    <row r="370" spans="3:3" ht="13.2">
      <c r="C370" s="95"/>
    </row>
    <row r="371" spans="3:3" ht="13.2">
      <c r="C371" s="95"/>
    </row>
    <row r="372" spans="3:3" ht="13.2">
      <c r="C372" s="95"/>
    </row>
    <row r="373" spans="3:3" ht="13.2">
      <c r="C373" s="95"/>
    </row>
    <row r="374" spans="3:3" ht="13.2">
      <c r="C374" s="95"/>
    </row>
    <row r="375" spans="3:3" ht="13.2">
      <c r="C375" s="95"/>
    </row>
    <row r="376" spans="3:3" ht="13.2">
      <c r="C376" s="95"/>
    </row>
    <row r="377" spans="3:3" ht="13.2">
      <c r="C377" s="95"/>
    </row>
    <row r="378" spans="3:3" ht="13.2">
      <c r="C378" s="95"/>
    </row>
    <row r="379" spans="3:3" ht="13.2">
      <c r="C379" s="95"/>
    </row>
    <row r="380" spans="3:3" ht="13.2">
      <c r="C380" s="95"/>
    </row>
    <row r="381" spans="3:3" ht="13.2">
      <c r="C381" s="95"/>
    </row>
    <row r="382" spans="3:3" ht="13.2">
      <c r="C382" s="95"/>
    </row>
    <row r="383" spans="3:3" ht="13.2">
      <c r="C383" s="95"/>
    </row>
    <row r="384" spans="3:3" ht="13.2">
      <c r="C384" s="95"/>
    </row>
    <row r="385" spans="3:3" ht="13.2">
      <c r="C385" s="95"/>
    </row>
    <row r="386" spans="3:3" ht="13.2">
      <c r="C386" s="95"/>
    </row>
    <row r="387" spans="3:3" ht="13.2">
      <c r="C387" s="95"/>
    </row>
    <row r="388" spans="3:3" ht="13.2">
      <c r="C388" s="95"/>
    </row>
    <row r="389" spans="3:3" ht="13.2">
      <c r="C389" s="95"/>
    </row>
    <row r="390" spans="3:3" ht="13.2">
      <c r="C390" s="95"/>
    </row>
    <row r="391" spans="3:3" ht="13.2">
      <c r="C391" s="95"/>
    </row>
    <row r="392" spans="3:3" ht="13.2">
      <c r="C392" s="95"/>
    </row>
    <row r="393" spans="3:3" ht="13.2">
      <c r="C393" s="95"/>
    </row>
    <row r="394" spans="3:3" ht="13.2">
      <c r="C394" s="95"/>
    </row>
    <row r="395" spans="3:3" ht="13.2">
      <c r="C395" s="95"/>
    </row>
    <row r="396" spans="3:3" ht="13.2">
      <c r="C396" s="95"/>
    </row>
    <row r="397" spans="3:3" ht="13.2">
      <c r="C397" s="95"/>
    </row>
    <row r="398" spans="3:3" ht="13.2">
      <c r="C398" s="95"/>
    </row>
    <row r="399" spans="3:3" ht="13.2">
      <c r="C399" s="95"/>
    </row>
    <row r="400" spans="3:3" ht="13.2">
      <c r="C400" s="95"/>
    </row>
    <row r="401" spans="3:3" ht="13.2">
      <c r="C401" s="95"/>
    </row>
    <row r="402" spans="3:3" ht="13.2">
      <c r="C402" s="95"/>
    </row>
    <row r="403" spans="3:3" ht="13.2">
      <c r="C403" s="95"/>
    </row>
    <row r="404" spans="3:3" ht="13.2">
      <c r="C404" s="95"/>
    </row>
    <row r="405" spans="3:3" ht="13.2">
      <c r="C405" s="95"/>
    </row>
    <row r="406" spans="3:3" ht="13.2">
      <c r="C406" s="95"/>
    </row>
    <row r="407" spans="3:3" ht="13.2">
      <c r="C407" s="95"/>
    </row>
    <row r="408" spans="3:3" ht="13.2">
      <c r="C408" s="95"/>
    </row>
    <row r="409" spans="3:3" ht="13.2">
      <c r="C409" s="95"/>
    </row>
    <row r="410" spans="3:3" ht="13.2">
      <c r="C410" s="95"/>
    </row>
    <row r="411" spans="3:3" ht="13.2">
      <c r="C411" s="95"/>
    </row>
    <row r="412" spans="3:3" ht="13.2">
      <c r="C412" s="95"/>
    </row>
    <row r="413" spans="3:3" ht="13.2">
      <c r="C413" s="95"/>
    </row>
    <row r="414" spans="3:3" ht="13.2">
      <c r="C414" s="95"/>
    </row>
    <row r="415" spans="3:3" ht="13.2">
      <c r="C415" s="95"/>
    </row>
    <row r="416" spans="3:3" ht="13.2">
      <c r="C416" s="95"/>
    </row>
    <row r="417" spans="3:3" ht="13.2">
      <c r="C417" s="95"/>
    </row>
    <row r="418" spans="3:3" ht="13.2">
      <c r="C418" s="95"/>
    </row>
    <row r="419" spans="3:3" ht="13.2">
      <c r="C419" s="95"/>
    </row>
    <row r="420" spans="3:3" ht="13.2">
      <c r="C420" s="95"/>
    </row>
    <row r="421" spans="3:3" ht="13.2">
      <c r="C421" s="95"/>
    </row>
    <row r="422" spans="3:3" ht="13.2">
      <c r="C422" s="95"/>
    </row>
    <row r="423" spans="3:3" ht="13.2">
      <c r="C423" s="95"/>
    </row>
    <row r="424" spans="3:3" ht="13.2">
      <c r="C424" s="95"/>
    </row>
    <row r="425" spans="3:3" ht="13.2">
      <c r="C425" s="95"/>
    </row>
    <row r="426" spans="3:3" ht="13.2">
      <c r="C426" s="95"/>
    </row>
    <row r="427" spans="3:3" ht="13.2">
      <c r="C427" s="95"/>
    </row>
    <row r="428" spans="3:3" ht="13.2">
      <c r="C428" s="95"/>
    </row>
    <row r="429" spans="3:3" ht="13.2">
      <c r="C429" s="95"/>
    </row>
    <row r="430" spans="3:3" ht="13.2">
      <c r="C430" s="95"/>
    </row>
    <row r="431" spans="3:3" ht="13.2">
      <c r="C431" s="95"/>
    </row>
    <row r="432" spans="3:3" ht="13.2">
      <c r="C432" s="95"/>
    </row>
    <row r="433" spans="3:3" ht="13.2">
      <c r="C433" s="95"/>
    </row>
    <row r="434" spans="3:3" ht="13.2">
      <c r="C434" s="95"/>
    </row>
    <row r="435" spans="3:3" ht="13.2">
      <c r="C435" s="95"/>
    </row>
    <row r="436" spans="3:3" ht="13.2">
      <c r="C436" s="95"/>
    </row>
    <row r="437" spans="3:3" ht="13.2">
      <c r="C437" s="95"/>
    </row>
    <row r="438" spans="3:3" ht="13.2">
      <c r="C438" s="95"/>
    </row>
    <row r="439" spans="3:3" ht="13.2">
      <c r="C439" s="95"/>
    </row>
    <row r="440" spans="3:3" ht="13.2">
      <c r="C440" s="95"/>
    </row>
    <row r="441" spans="3:3" ht="13.2">
      <c r="C441" s="95"/>
    </row>
    <row r="442" spans="3:3" ht="13.2">
      <c r="C442" s="95"/>
    </row>
    <row r="443" spans="3:3" ht="13.2">
      <c r="C443" s="95"/>
    </row>
    <row r="444" spans="3:3" ht="13.2">
      <c r="C444" s="95"/>
    </row>
    <row r="445" spans="3:3" ht="13.2">
      <c r="C445" s="95"/>
    </row>
    <row r="446" spans="3:3" ht="13.2">
      <c r="C446" s="95"/>
    </row>
    <row r="447" spans="3:3" ht="13.2">
      <c r="C447" s="95"/>
    </row>
    <row r="448" spans="3:3" ht="13.2">
      <c r="C448" s="95"/>
    </row>
    <row r="449" spans="3:3" ht="13.2">
      <c r="C449" s="95"/>
    </row>
    <row r="450" spans="3:3" ht="13.2">
      <c r="C450" s="95"/>
    </row>
    <row r="451" spans="3:3" ht="13.2">
      <c r="C451" s="95"/>
    </row>
    <row r="452" spans="3:3" ht="13.2">
      <c r="C452" s="95"/>
    </row>
    <row r="453" spans="3:3" ht="13.2">
      <c r="C453" s="95"/>
    </row>
    <row r="454" spans="3:3" ht="13.2">
      <c r="C454" s="95"/>
    </row>
    <row r="455" spans="3:3" ht="13.2">
      <c r="C455" s="95"/>
    </row>
    <row r="456" spans="3:3" ht="13.2">
      <c r="C456" s="95"/>
    </row>
    <row r="457" spans="3:3" ht="13.2">
      <c r="C457" s="95"/>
    </row>
    <row r="458" spans="3:3" ht="13.2">
      <c r="C458" s="95"/>
    </row>
    <row r="459" spans="3:3" ht="13.2">
      <c r="C459" s="95"/>
    </row>
    <row r="460" spans="3:3" ht="13.2">
      <c r="C460" s="95"/>
    </row>
    <row r="461" spans="3:3" ht="13.2">
      <c r="C461" s="95"/>
    </row>
    <row r="462" spans="3:3" ht="13.2">
      <c r="C462" s="95"/>
    </row>
    <row r="463" spans="3:3" ht="13.2">
      <c r="C463" s="95"/>
    </row>
    <row r="464" spans="3:3" ht="13.2">
      <c r="C464" s="95"/>
    </row>
    <row r="465" spans="3:3" ht="13.2">
      <c r="C465" s="95"/>
    </row>
    <row r="466" spans="3:3" ht="13.2">
      <c r="C466" s="95"/>
    </row>
    <row r="467" spans="3:3" ht="13.2">
      <c r="C467" s="95"/>
    </row>
    <row r="468" spans="3:3" ht="13.2">
      <c r="C468" s="95"/>
    </row>
    <row r="469" spans="3:3" ht="13.2">
      <c r="C469" s="95"/>
    </row>
    <row r="470" spans="3:3" ht="13.2">
      <c r="C470" s="95"/>
    </row>
    <row r="471" spans="3:3" ht="13.2">
      <c r="C471" s="95"/>
    </row>
    <row r="472" spans="3:3" ht="13.2">
      <c r="C472" s="95"/>
    </row>
    <row r="473" spans="3:3" ht="13.2">
      <c r="C473" s="95"/>
    </row>
    <row r="474" spans="3:3" ht="13.2">
      <c r="C474" s="95"/>
    </row>
    <row r="475" spans="3:3" ht="13.2">
      <c r="C475" s="95"/>
    </row>
    <row r="476" spans="3:3" ht="13.2">
      <c r="C476" s="95"/>
    </row>
    <row r="477" spans="3:3" ht="13.2">
      <c r="C477" s="95"/>
    </row>
    <row r="478" spans="3:3" ht="13.2">
      <c r="C478" s="95"/>
    </row>
    <row r="479" spans="3:3" ht="13.2">
      <c r="C479" s="95"/>
    </row>
    <row r="480" spans="3:3" ht="13.2">
      <c r="C480" s="95"/>
    </row>
    <row r="481" spans="3:3" ht="13.2">
      <c r="C481" s="95"/>
    </row>
    <row r="482" spans="3:3" ht="13.2">
      <c r="C482" s="95"/>
    </row>
    <row r="483" spans="3:3" ht="13.2">
      <c r="C483" s="95"/>
    </row>
    <row r="484" spans="3:3" ht="13.2">
      <c r="C484" s="95"/>
    </row>
    <row r="485" spans="3:3" ht="13.2">
      <c r="C485" s="95"/>
    </row>
    <row r="486" spans="3:3" ht="13.2">
      <c r="C486" s="95"/>
    </row>
    <row r="487" spans="3:3" ht="13.2">
      <c r="C487" s="95"/>
    </row>
    <row r="488" spans="3:3" ht="13.2">
      <c r="C488" s="95"/>
    </row>
    <row r="489" spans="3:3" ht="13.2">
      <c r="C489" s="95"/>
    </row>
    <row r="490" spans="3:3" ht="13.2">
      <c r="C490" s="95"/>
    </row>
    <row r="491" spans="3:3" ht="13.2">
      <c r="C491" s="95"/>
    </row>
    <row r="492" spans="3:3" ht="13.2">
      <c r="C492" s="95"/>
    </row>
    <row r="493" spans="3:3" ht="13.2">
      <c r="C493" s="95"/>
    </row>
    <row r="494" spans="3:3" ht="13.2">
      <c r="C494" s="95"/>
    </row>
    <row r="495" spans="3:3" ht="13.2">
      <c r="C495" s="95"/>
    </row>
    <row r="496" spans="3:3" ht="13.2">
      <c r="C496" s="95"/>
    </row>
    <row r="497" spans="3:3" ht="13.2">
      <c r="C497" s="95"/>
    </row>
    <row r="498" spans="3:3" ht="13.2">
      <c r="C498" s="95"/>
    </row>
    <row r="499" spans="3:3" ht="13.2">
      <c r="C499" s="95"/>
    </row>
    <row r="500" spans="3:3" ht="13.2">
      <c r="C500" s="95"/>
    </row>
    <row r="501" spans="3:3" ht="13.2">
      <c r="C501" s="95"/>
    </row>
    <row r="502" spans="3:3" ht="13.2">
      <c r="C502" s="95"/>
    </row>
    <row r="503" spans="3:3" ht="13.2">
      <c r="C503" s="95"/>
    </row>
    <row r="504" spans="3:3" ht="13.2">
      <c r="C504" s="95"/>
    </row>
    <row r="505" spans="3:3" ht="13.2">
      <c r="C505" s="95"/>
    </row>
    <row r="506" spans="3:3" ht="13.2">
      <c r="C506" s="95"/>
    </row>
    <row r="507" spans="3:3" ht="13.2">
      <c r="C507" s="95"/>
    </row>
    <row r="508" spans="3:3" ht="13.2">
      <c r="C508" s="95"/>
    </row>
    <row r="509" spans="3:3" ht="13.2">
      <c r="C509" s="95"/>
    </row>
    <row r="510" spans="3:3" ht="13.2">
      <c r="C510" s="95"/>
    </row>
    <row r="511" spans="3:3" ht="13.2">
      <c r="C511" s="95"/>
    </row>
    <row r="512" spans="3:3" ht="13.2">
      <c r="C512" s="95"/>
    </row>
    <row r="513" spans="3:3" ht="13.2">
      <c r="C513" s="95"/>
    </row>
    <row r="514" spans="3:3" ht="13.2">
      <c r="C514" s="95"/>
    </row>
    <row r="515" spans="3:3" ht="13.2">
      <c r="C515" s="95"/>
    </row>
    <row r="516" spans="3:3" ht="13.2">
      <c r="C516" s="95"/>
    </row>
    <row r="517" spans="3:3" ht="13.2">
      <c r="C517" s="95"/>
    </row>
    <row r="518" spans="3:3" ht="13.2">
      <c r="C518" s="95"/>
    </row>
    <row r="519" spans="3:3" ht="13.2">
      <c r="C519" s="95"/>
    </row>
    <row r="520" spans="3:3" ht="13.2">
      <c r="C520" s="95"/>
    </row>
    <row r="521" spans="3:3" ht="13.2">
      <c r="C521" s="95"/>
    </row>
    <row r="522" spans="3:3" ht="13.2">
      <c r="C522" s="95"/>
    </row>
    <row r="523" spans="3:3" ht="13.2">
      <c r="C523" s="95"/>
    </row>
    <row r="524" spans="3:3" ht="13.2">
      <c r="C524" s="95"/>
    </row>
    <row r="525" spans="3:3" ht="13.2">
      <c r="C525" s="95"/>
    </row>
    <row r="526" spans="3:3" ht="13.2">
      <c r="C526" s="95"/>
    </row>
    <row r="527" spans="3:3" ht="13.2">
      <c r="C527" s="95"/>
    </row>
    <row r="528" spans="3:3" ht="13.2">
      <c r="C528" s="95"/>
    </row>
    <row r="529" spans="3:3" ht="13.2">
      <c r="C529" s="95"/>
    </row>
    <row r="530" spans="3:3" ht="13.2">
      <c r="C530" s="95"/>
    </row>
    <row r="531" spans="3:3" ht="13.2">
      <c r="C531" s="95"/>
    </row>
    <row r="532" spans="3:3" ht="13.2">
      <c r="C532" s="95"/>
    </row>
    <row r="533" spans="3:3" ht="13.2">
      <c r="C533" s="95"/>
    </row>
    <row r="534" spans="3:3" ht="13.2">
      <c r="C534" s="95"/>
    </row>
    <row r="535" spans="3:3" ht="13.2">
      <c r="C535" s="95"/>
    </row>
    <row r="536" spans="3:3" ht="13.2">
      <c r="C536" s="95"/>
    </row>
    <row r="537" spans="3:3" ht="13.2">
      <c r="C537" s="95"/>
    </row>
    <row r="538" spans="3:3" ht="13.2">
      <c r="C538" s="95"/>
    </row>
    <row r="539" spans="3:3" ht="13.2">
      <c r="C539" s="95"/>
    </row>
    <row r="540" spans="3:3" ht="13.2">
      <c r="C540" s="95"/>
    </row>
    <row r="541" spans="3:3" ht="13.2">
      <c r="C541" s="95"/>
    </row>
    <row r="542" spans="3:3" ht="13.2">
      <c r="C542" s="95"/>
    </row>
    <row r="543" spans="3:3" ht="13.2">
      <c r="C543" s="95"/>
    </row>
    <row r="544" spans="3:3" ht="13.2">
      <c r="C544" s="95"/>
    </row>
    <row r="545" spans="3:3" ht="13.2">
      <c r="C545" s="95"/>
    </row>
    <row r="546" spans="3:3" ht="13.2">
      <c r="C546" s="95"/>
    </row>
    <row r="547" spans="3:3" ht="13.2">
      <c r="C547" s="95"/>
    </row>
    <row r="548" spans="3:3" ht="13.2">
      <c r="C548" s="95"/>
    </row>
    <row r="549" spans="3:3" ht="13.2">
      <c r="C549" s="95"/>
    </row>
    <row r="550" spans="3:3" ht="13.2">
      <c r="C550" s="95"/>
    </row>
    <row r="551" spans="3:3" ht="13.2">
      <c r="C551" s="95"/>
    </row>
    <row r="552" spans="3:3" ht="13.2">
      <c r="C552" s="95"/>
    </row>
    <row r="553" spans="3:3" ht="13.2">
      <c r="C553" s="95"/>
    </row>
    <row r="554" spans="3:3" ht="13.2">
      <c r="C554" s="95"/>
    </row>
    <row r="555" spans="3:3" ht="13.2">
      <c r="C555" s="95"/>
    </row>
    <row r="556" spans="3:3" ht="13.2">
      <c r="C556" s="95"/>
    </row>
    <row r="557" spans="3:3" ht="13.2">
      <c r="C557" s="95"/>
    </row>
    <row r="558" spans="3:3" ht="13.2">
      <c r="C558" s="95"/>
    </row>
    <row r="559" spans="3:3" ht="13.2">
      <c r="C559" s="95"/>
    </row>
    <row r="560" spans="3:3" ht="13.2">
      <c r="C560" s="95"/>
    </row>
    <row r="561" spans="3:3" ht="13.2">
      <c r="C561" s="95"/>
    </row>
    <row r="562" spans="3:3" ht="13.2">
      <c r="C562" s="95"/>
    </row>
    <row r="563" spans="3:3" ht="13.2">
      <c r="C563" s="95"/>
    </row>
    <row r="564" spans="3:3" ht="13.2">
      <c r="C564" s="95"/>
    </row>
    <row r="565" spans="3:3" ht="13.2">
      <c r="C565" s="95"/>
    </row>
    <row r="566" spans="3:3" ht="13.2">
      <c r="C566" s="95"/>
    </row>
    <row r="567" spans="3:3" ht="13.2">
      <c r="C567" s="95"/>
    </row>
    <row r="568" spans="3:3" ht="13.2">
      <c r="C568" s="95"/>
    </row>
    <row r="569" spans="3:3" ht="13.2">
      <c r="C569" s="95"/>
    </row>
    <row r="570" spans="3:3" ht="13.2">
      <c r="C570" s="95"/>
    </row>
    <row r="571" spans="3:3" ht="13.2">
      <c r="C571" s="95"/>
    </row>
    <row r="572" spans="3:3" ht="13.2">
      <c r="C572" s="95"/>
    </row>
    <row r="573" spans="3:3" ht="13.2">
      <c r="C573" s="95"/>
    </row>
    <row r="574" spans="3:3" ht="13.2">
      <c r="C574" s="95"/>
    </row>
    <row r="575" spans="3:3" ht="13.2">
      <c r="C575" s="95"/>
    </row>
    <row r="576" spans="3:3" ht="13.2">
      <c r="C576" s="95"/>
    </row>
    <row r="577" spans="3:3" ht="13.2">
      <c r="C577" s="95"/>
    </row>
    <row r="578" spans="3:3" ht="13.2">
      <c r="C578" s="95"/>
    </row>
    <row r="579" spans="3:3" ht="13.2">
      <c r="C579" s="95"/>
    </row>
    <row r="580" spans="3:3" ht="13.2">
      <c r="C580" s="95"/>
    </row>
    <row r="581" spans="3:3" ht="13.2">
      <c r="C581" s="95"/>
    </row>
    <row r="582" spans="3:3" ht="13.2">
      <c r="C582" s="95"/>
    </row>
    <row r="583" spans="3:3" ht="13.2">
      <c r="C583" s="95"/>
    </row>
    <row r="584" spans="3:3" ht="13.2">
      <c r="C584" s="95"/>
    </row>
    <row r="585" spans="3:3" ht="13.2">
      <c r="C585" s="95"/>
    </row>
    <row r="586" spans="3:3" ht="13.2">
      <c r="C586" s="95"/>
    </row>
    <row r="587" spans="3:3" ht="13.2">
      <c r="C587" s="95"/>
    </row>
    <row r="588" spans="3:3" ht="13.2">
      <c r="C588" s="95"/>
    </row>
    <row r="589" spans="3:3" ht="13.2">
      <c r="C589" s="95"/>
    </row>
    <row r="590" spans="3:3" ht="13.2">
      <c r="C590" s="95"/>
    </row>
    <row r="591" spans="3:3" ht="13.2">
      <c r="C591" s="95"/>
    </row>
    <row r="592" spans="3:3" ht="13.2">
      <c r="C592" s="95"/>
    </row>
    <row r="593" spans="3:3" ht="13.2">
      <c r="C593" s="95"/>
    </row>
    <row r="594" spans="3:3" ht="13.2">
      <c r="C594" s="95"/>
    </row>
    <row r="595" spans="3:3" ht="13.2">
      <c r="C595" s="95"/>
    </row>
    <row r="596" spans="3:3" ht="13.2">
      <c r="C596" s="95"/>
    </row>
    <row r="597" spans="3:3" ht="13.2">
      <c r="C597" s="95"/>
    </row>
    <row r="598" spans="3:3" ht="13.2">
      <c r="C598" s="95"/>
    </row>
    <row r="599" spans="3:3" ht="13.2">
      <c r="C599" s="95"/>
    </row>
    <row r="600" spans="3:3" ht="13.2">
      <c r="C600" s="95"/>
    </row>
    <row r="601" spans="3:3" ht="13.2">
      <c r="C601" s="95"/>
    </row>
    <row r="602" spans="3:3" ht="13.2">
      <c r="C602" s="95"/>
    </row>
    <row r="603" spans="3:3" ht="13.2">
      <c r="C603" s="95"/>
    </row>
    <row r="604" spans="3:3" ht="13.2">
      <c r="C604" s="95"/>
    </row>
    <row r="605" spans="3:3" ht="13.2">
      <c r="C605" s="95"/>
    </row>
    <row r="606" spans="3:3" ht="13.2">
      <c r="C606" s="95"/>
    </row>
    <row r="607" spans="3:3" ht="13.2">
      <c r="C607" s="95"/>
    </row>
    <row r="608" spans="3:3" ht="13.2">
      <c r="C608" s="95"/>
    </row>
    <row r="609" spans="3:3" ht="13.2">
      <c r="C609" s="95"/>
    </row>
    <row r="610" spans="3:3" ht="13.2">
      <c r="C610" s="95"/>
    </row>
    <row r="611" spans="3:3" ht="13.2">
      <c r="C611" s="95"/>
    </row>
    <row r="612" spans="3:3" ht="13.2">
      <c r="C612" s="95"/>
    </row>
    <row r="613" spans="3:3" ht="13.2">
      <c r="C613" s="95"/>
    </row>
    <row r="614" spans="3:3" ht="13.2">
      <c r="C614" s="95"/>
    </row>
    <row r="615" spans="3:3" ht="13.2">
      <c r="C615" s="95"/>
    </row>
    <row r="616" spans="3:3" ht="13.2">
      <c r="C616" s="95"/>
    </row>
    <row r="617" spans="3:3" ht="13.2">
      <c r="C617" s="95"/>
    </row>
    <row r="618" spans="3:3" ht="13.2">
      <c r="C618" s="95"/>
    </row>
    <row r="619" spans="3:3" ht="13.2">
      <c r="C619" s="95"/>
    </row>
    <row r="620" spans="3:3" ht="13.2">
      <c r="C620" s="95"/>
    </row>
    <row r="621" spans="3:3" ht="13.2">
      <c r="C621" s="95"/>
    </row>
    <row r="622" spans="3:3" ht="13.2">
      <c r="C622" s="95"/>
    </row>
    <row r="623" spans="3:3" ht="13.2">
      <c r="C623" s="95"/>
    </row>
    <row r="624" spans="3:3" ht="13.2">
      <c r="C624" s="95"/>
    </row>
    <row r="625" spans="3:3" ht="13.2">
      <c r="C625" s="95"/>
    </row>
    <row r="626" spans="3:3" ht="13.2">
      <c r="C626" s="95"/>
    </row>
    <row r="627" spans="3:3" ht="13.2">
      <c r="C627" s="95"/>
    </row>
    <row r="628" spans="3:3" ht="13.2">
      <c r="C628" s="95"/>
    </row>
    <row r="629" spans="3:3" ht="13.2">
      <c r="C629" s="95"/>
    </row>
    <row r="630" spans="3:3" ht="13.2">
      <c r="C630" s="95"/>
    </row>
    <row r="631" spans="3:3" ht="13.2">
      <c r="C631" s="95"/>
    </row>
    <row r="632" spans="3:3" ht="13.2">
      <c r="C632" s="95"/>
    </row>
    <row r="633" spans="3:3" ht="13.2">
      <c r="C633" s="95"/>
    </row>
    <row r="634" spans="3:3" ht="13.2">
      <c r="C634" s="95"/>
    </row>
    <row r="635" spans="3:3" ht="13.2">
      <c r="C635" s="95"/>
    </row>
    <row r="636" spans="3:3" ht="13.2">
      <c r="C636" s="95"/>
    </row>
    <row r="637" spans="3:3" ht="13.2">
      <c r="C637" s="95"/>
    </row>
    <row r="638" spans="3:3" ht="13.2">
      <c r="C638" s="95"/>
    </row>
    <row r="639" spans="3:3" ht="13.2">
      <c r="C639" s="95"/>
    </row>
    <row r="640" spans="3:3" ht="13.2">
      <c r="C640" s="95"/>
    </row>
    <row r="641" spans="3:3" ht="13.2">
      <c r="C641" s="95"/>
    </row>
    <row r="642" spans="3:3" ht="13.2">
      <c r="C642" s="95"/>
    </row>
    <row r="643" spans="3:3" ht="13.2">
      <c r="C643" s="95"/>
    </row>
    <row r="644" spans="3:3" ht="13.2">
      <c r="C644" s="95"/>
    </row>
    <row r="645" spans="3:3" ht="13.2">
      <c r="C645" s="95"/>
    </row>
    <row r="646" spans="3:3" ht="13.2">
      <c r="C646" s="95"/>
    </row>
    <row r="647" spans="3:3" ht="13.2">
      <c r="C647" s="95"/>
    </row>
    <row r="648" spans="3:3" ht="13.2">
      <c r="C648" s="95"/>
    </row>
    <row r="649" spans="3:3" ht="13.2">
      <c r="C649" s="95"/>
    </row>
    <row r="650" spans="3:3" ht="13.2">
      <c r="C650" s="95"/>
    </row>
    <row r="651" spans="3:3" ht="13.2">
      <c r="C651" s="95"/>
    </row>
    <row r="652" spans="3:3" ht="13.2">
      <c r="C652" s="95"/>
    </row>
    <row r="653" spans="3:3" ht="13.2">
      <c r="C653" s="95"/>
    </row>
    <row r="654" spans="3:3" ht="13.2">
      <c r="C654" s="95"/>
    </row>
    <row r="655" spans="3:3" ht="13.2">
      <c r="C655" s="95"/>
    </row>
    <row r="656" spans="3:3" ht="13.2">
      <c r="C656" s="95"/>
    </row>
    <row r="657" spans="3:3" ht="13.2">
      <c r="C657" s="95"/>
    </row>
    <row r="658" spans="3:3" ht="13.2">
      <c r="C658" s="95"/>
    </row>
    <row r="659" spans="3:3" ht="13.2">
      <c r="C659" s="95"/>
    </row>
    <row r="660" spans="3:3" ht="13.2">
      <c r="C660" s="95"/>
    </row>
    <row r="661" spans="3:3" ht="13.2">
      <c r="C661" s="95"/>
    </row>
    <row r="662" spans="3:3" ht="13.2">
      <c r="C662" s="95"/>
    </row>
    <row r="663" spans="3:3" ht="13.2">
      <c r="C663" s="95"/>
    </row>
    <row r="664" spans="3:3" ht="13.2">
      <c r="C664" s="95"/>
    </row>
    <row r="665" spans="3:3" ht="13.2">
      <c r="C665" s="95"/>
    </row>
    <row r="666" spans="3:3" ht="13.2">
      <c r="C666" s="95"/>
    </row>
    <row r="667" spans="3:3" ht="13.2">
      <c r="C667" s="95"/>
    </row>
    <row r="668" spans="3:3" ht="13.2">
      <c r="C668" s="95"/>
    </row>
    <row r="669" spans="3:3" ht="13.2">
      <c r="C669" s="95"/>
    </row>
    <row r="670" spans="3:3" ht="13.2">
      <c r="C670" s="95"/>
    </row>
    <row r="671" spans="3:3" ht="13.2">
      <c r="C671" s="95"/>
    </row>
    <row r="672" spans="3:3" ht="13.2">
      <c r="C672" s="95"/>
    </row>
    <row r="673" spans="3:3" ht="13.2">
      <c r="C673" s="95"/>
    </row>
    <row r="674" spans="3:3" ht="13.2">
      <c r="C674" s="95"/>
    </row>
    <row r="675" spans="3:3" ht="13.2">
      <c r="C675" s="95"/>
    </row>
    <row r="676" spans="3:3" ht="13.2">
      <c r="C676" s="95"/>
    </row>
    <row r="677" spans="3:3" ht="13.2">
      <c r="C677" s="95"/>
    </row>
    <row r="678" spans="3:3" ht="13.2">
      <c r="C678" s="95"/>
    </row>
    <row r="679" spans="3:3" ht="13.2">
      <c r="C679" s="95"/>
    </row>
    <row r="680" spans="3:3" ht="13.2">
      <c r="C680" s="95"/>
    </row>
    <row r="681" spans="3:3" ht="13.2">
      <c r="C681" s="95"/>
    </row>
    <row r="682" spans="3:3" ht="13.2">
      <c r="C682" s="95"/>
    </row>
    <row r="683" spans="3:3" ht="13.2">
      <c r="C683" s="95"/>
    </row>
    <row r="684" spans="3:3" ht="13.2">
      <c r="C684" s="95"/>
    </row>
    <row r="685" spans="3:3" ht="13.2">
      <c r="C685" s="95"/>
    </row>
    <row r="686" spans="3:3" ht="13.2">
      <c r="C686" s="95"/>
    </row>
    <row r="687" spans="3:3" ht="13.2">
      <c r="C687" s="95"/>
    </row>
    <row r="688" spans="3:3" ht="13.2">
      <c r="C688" s="95"/>
    </row>
    <row r="689" spans="3:3" ht="13.2">
      <c r="C689" s="95"/>
    </row>
    <row r="690" spans="3:3" ht="13.2">
      <c r="C690" s="95"/>
    </row>
    <row r="691" spans="3:3" ht="13.2">
      <c r="C691" s="95"/>
    </row>
    <row r="692" spans="3:3" ht="13.2">
      <c r="C692" s="95"/>
    </row>
    <row r="693" spans="3:3" ht="13.2">
      <c r="C693" s="95"/>
    </row>
    <row r="694" spans="3:3" ht="13.2">
      <c r="C694" s="95"/>
    </row>
    <row r="695" spans="3:3" ht="13.2">
      <c r="C695" s="95"/>
    </row>
    <row r="696" spans="3:3" ht="13.2">
      <c r="C696" s="95"/>
    </row>
    <row r="697" spans="3:3" ht="13.2">
      <c r="C697" s="95"/>
    </row>
    <row r="698" spans="3:3" ht="13.2">
      <c r="C698" s="95"/>
    </row>
    <row r="699" spans="3:3" ht="13.2">
      <c r="C699" s="95"/>
    </row>
    <row r="700" spans="3:3" ht="13.2">
      <c r="C700" s="95"/>
    </row>
    <row r="701" spans="3:3" ht="13.2">
      <c r="C701" s="95"/>
    </row>
    <row r="702" spans="3:3" ht="13.2">
      <c r="C702" s="95"/>
    </row>
    <row r="703" spans="3:3" ht="13.2">
      <c r="C703" s="95"/>
    </row>
    <row r="704" spans="3:3" ht="13.2">
      <c r="C704" s="95"/>
    </row>
    <row r="705" spans="3:3" ht="13.2">
      <c r="C705" s="95"/>
    </row>
    <row r="706" spans="3:3" ht="13.2">
      <c r="C706" s="95"/>
    </row>
    <row r="707" spans="3:3" ht="13.2">
      <c r="C707" s="95"/>
    </row>
    <row r="708" spans="3:3" ht="13.2">
      <c r="C708" s="95"/>
    </row>
    <row r="709" spans="3:3" ht="13.2">
      <c r="C709" s="95"/>
    </row>
    <row r="710" spans="3:3" ht="13.2">
      <c r="C710" s="95"/>
    </row>
    <row r="711" spans="3:3" ht="13.2">
      <c r="C711" s="95"/>
    </row>
    <row r="712" spans="3:3" ht="13.2">
      <c r="C712" s="95"/>
    </row>
    <row r="713" spans="3:3" ht="13.2">
      <c r="C713" s="95"/>
    </row>
    <row r="714" spans="3:3" ht="13.2">
      <c r="C714" s="95"/>
    </row>
    <row r="715" spans="3:3" ht="13.2">
      <c r="C715" s="95"/>
    </row>
    <row r="716" spans="3:3" ht="13.2">
      <c r="C716" s="95"/>
    </row>
    <row r="717" spans="3:3" ht="13.2">
      <c r="C717" s="95"/>
    </row>
    <row r="718" spans="3:3" ht="13.2">
      <c r="C718" s="95"/>
    </row>
    <row r="719" spans="3:3" ht="13.2">
      <c r="C719" s="95"/>
    </row>
    <row r="720" spans="3:3" ht="13.2">
      <c r="C720" s="95"/>
    </row>
    <row r="721" spans="3:3" ht="13.2">
      <c r="C721" s="95"/>
    </row>
    <row r="722" spans="3:3" ht="13.2">
      <c r="C722" s="95"/>
    </row>
    <row r="723" spans="3:3" ht="13.2">
      <c r="C723" s="95"/>
    </row>
    <row r="724" spans="3:3" ht="13.2">
      <c r="C724" s="95"/>
    </row>
    <row r="725" spans="3:3" ht="13.2">
      <c r="C725" s="95"/>
    </row>
    <row r="726" spans="3:3" ht="13.2">
      <c r="C726" s="95"/>
    </row>
    <row r="727" spans="3:3" ht="13.2">
      <c r="C727" s="95"/>
    </row>
    <row r="728" spans="3:3" ht="13.2">
      <c r="C728" s="95"/>
    </row>
    <row r="729" spans="3:3" ht="13.2">
      <c r="C729" s="95"/>
    </row>
    <row r="730" spans="3:3" ht="13.2">
      <c r="C730" s="95"/>
    </row>
    <row r="731" spans="3:3" ht="13.2">
      <c r="C731" s="95"/>
    </row>
    <row r="732" spans="3:3" ht="13.2">
      <c r="C732" s="95"/>
    </row>
    <row r="733" spans="3:3" ht="13.2">
      <c r="C733" s="95"/>
    </row>
    <row r="734" spans="3:3" ht="13.2">
      <c r="C734" s="95"/>
    </row>
    <row r="735" spans="3:3" ht="13.2">
      <c r="C735" s="95"/>
    </row>
    <row r="736" spans="3:3" ht="13.2">
      <c r="C736" s="95"/>
    </row>
    <row r="737" spans="3:3" ht="13.2">
      <c r="C737" s="95"/>
    </row>
    <row r="738" spans="3:3" ht="13.2">
      <c r="C738" s="95"/>
    </row>
    <row r="739" spans="3:3" ht="13.2">
      <c r="C739" s="95"/>
    </row>
    <row r="740" spans="3:3" ht="13.2">
      <c r="C740" s="95"/>
    </row>
    <row r="741" spans="3:3" ht="13.2">
      <c r="C741" s="95"/>
    </row>
    <row r="742" spans="3:3" ht="13.2">
      <c r="C742" s="95"/>
    </row>
    <row r="743" spans="3:3" ht="13.2">
      <c r="C743" s="95"/>
    </row>
    <row r="744" spans="3:3" ht="13.2">
      <c r="C744" s="95"/>
    </row>
    <row r="745" spans="3:3" ht="13.2">
      <c r="C745" s="95"/>
    </row>
    <row r="746" spans="3:3" ht="13.2">
      <c r="C746" s="95"/>
    </row>
    <row r="747" spans="3:3" ht="13.2">
      <c r="C747" s="95"/>
    </row>
    <row r="748" spans="3:3" ht="13.2">
      <c r="C748" s="95"/>
    </row>
    <row r="749" spans="3:3" ht="13.2">
      <c r="C749" s="95"/>
    </row>
    <row r="750" spans="3:3" ht="13.2">
      <c r="C750" s="95"/>
    </row>
    <row r="751" spans="3:3" ht="13.2">
      <c r="C751" s="95"/>
    </row>
    <row r="752" spans="3:3" ht="13.2">
      <c r="C752" s="95"/>
    </row>
    <row r="753" spans="3:3" ht="13.2">
      <c r="C753" s="95"/>
    </row>
    <row r="754" spans="3:3" ht="13.2">
      <c r="C754" s="95"/>
    </row>
    <row r="755" spans="3:3" ht="13.2">
      <c r="C755" s="95"/>
    </row>
    <row r="756" spans="3:3" ht="13.2">
      <c r="C756" s="95"/>
    </row>
    <row r="757" spans="3:3" ht="13.2">
      <c r="C757" s="95"/>
    </row>
    <row r="758" spans="3:3" ht="13.2">
      <c r="C758" s="95"/>
    </row>
    <row r="759" spans="3:3" ht="13.2">
      <c r="C759" s="95"/>
    </row>
    <row r="760" spans="3:3" ht="13.2">
      <c r="C760" s="95"/>
    </row>
    <row r="761" spans="3:3" ht="13.2">
      <c r="C761" s="95"/>
    </row>
    <row r="762" spans="3:3" ht="13.2">
      <c r="C762" s="95"/>
    </row>
    <row r="763" spans="3:3" ht="13.2">
      <c r="C763" s="95"/>
    </row>
    <row r="764" spans="3:3" ht="13.2">
      <c r="C764" s="95"/>
    </row>
    <row r="765" spans="3:3" ht="13.2">
      <c r="C765" s="95"/>
    </row>
    <row r="766" spans="3:3" ht="13.2">
      <c r="C766" s="95"/>
    </row>
    <row r="767" spans="3:3" ht="13.2">
      <c r="C767" s="95"/>
    </row>
    <row r="768" spans="3:3" ht="13.2">
      <c r="C768" s="95"/>
    </row>
    <row r="769" spans="3:3" ht="13.2">
      <c r="C769" s="95"/>
    </row>
    <row r="770" spans="3:3" ht="13.2">
      <c r="C770" s="95"/>
    </row>
    <row r="771" spans="3:3" ht="13.2">
      <c r="C771" s="95"/>
    </row>
    <row r="772" spans="3:3" ht="13.2">
      <c r="C772" s="95"/>
    </row>
    <row r="773" spans="3:3" ht="13.2">
      <c r="C773" s="95"/>
    </row>
    <row r="774" spans="3:3" ht="13.2">
      <c r="C774" s="95"/>
    </row>
    <row r="775" spans="3:3" ht="13.2">
      <c r="C775" s="95"/>
    </row>
    <row r="776" spans="3:3" ht="13.2">
      <c r="C776" s="95"/>
    </row>
    <row r="777" spans="3:3" ht="13.2">
      <c r="C777" s="95"/>
    </row>
    <row r="778" spans="3:3" ht="13.2">
      <c r="C778" s="95"/>
    </row>
    <row r="779" spans="3:3" ht="13.2">
      <c r="C779" s="95"/>
    </row>
    <row r="780" spans="3:3" ht="13.2">
      <c r="C780" s="95"/>
    </row>
    <row r="781" spans="3:3" ht="13.2">
      <c r="C781" s="95"/>
    </row>
    <row r="782" spans="3:3" ht="13.2">
      <c r="C782" s="95"/>
    </row>
    <row r="783" spans="3:3" ht="13.2">
      <c r="C783" s="95"/>
    </row>
    <row r="784" spans="3:3" ht="13.2">
      <c r="C784" s="95"/>
    </row>
    <row r="785" spans="3:3" ht="13.2">
      <c r="C785" s="95"/>
    </row>
    <row r="786" spans="3:3" ht="13.2">
      <c r="C786" s="95"/>
    </row>
    <row r="787" spans="3:3" ht="13.2">
      <c r="C787" s="95"/>
    </row>
    <row r="788" spans="3:3" ht="13.2">
      <c r="C788" s="95"/>
    </row>
    <row r="789" spans="3:3" ht="13.2">
      <c r="C789" s="95"/>
    </row>
    <row r="790" spans="3:3" ht="13.2">
      <c r="C790" s="95"/>
    </row>
    <row r="791" spans="3:3" ht="13.2">
      <c r="C791" s="95"/>
    </row>
    <row r="792" spans="3:3" ht="13.2">
      <c r="C792" s="95"/>
    </row>
    <row r="793" spans="3:3" ht="13.2">
      <c r="C793" s="95"/>
    </row>
    <row r="794" spans="3:3" ht="13.2">
      <c r="C794" s="95"/>
    </row>
    <row r="795" spans="3:3" ht="13.2">
      <c r="C795" s="95"/>
    </row>
    <row r="796" spans="3:3" ht="13.2">
      <c r="C796" s="95"/>
    </row>
    <row r="797" spans="3:3" ht="13.2">
      <c r="C797" s="95"/>
    </row>
    <row r="798" spans="3:3" ht="13.2">
      <c r="C798" s="95"/>
    </row>
    <row r="799" spans="3:3" ht="13.2">
      <c r="C799" s="95"/>
    </row>
    <row r="800" spans="3:3" ht="13.2">
      <c r="C800" s="95"/>
    </row>
    <row r="801" spans="3:3" ht="13.2">
      <c r="C801" s="95"/>
    </row>
    <row r="802" spans="3:3" ht="13.2">
      <c r="C802" s="95"/>
    </row>
    <row r="803" spans="3:3" ht="13.2">
      <c r="C803" s="95"/>
    </row>
    <row r="804" spans="3:3" ht="13.2">
      <c r="C804" s="95"/>
    </row>
    <row r="805" spans="3:3" ht="13.2">
      <c r="C805" s="95"/>
    </row>
    <row r="806" spans="3:3" ht="13.2">
      <c r="C806" s="95"/>
    </row>
    <row r="807" spans="3:3" ht="13.2">
      <c r="C807" s="95"/>
    </row>
    <row r="808" spans="3:3" ht="13.2">
      <c r="C808" s="95"/>
    </row>
    <row r="809" spans="3:3" ht="13.2">
      <c r="C809" s="95"/>
    </row>
    <row r="810" spans="3:3" ht="13.2">
      <c r="C810" s="95"/>
    </row>
    <row r="811" spans="3:3" ht="13.2">
      <c r="C811" s="95"/>
    </row>
    <row r="812" spans="3:3" ht="13.2">
      <c r="C812" s="95"/>
    </row>
    <row r="813" spans="3:3" ht="13.2">
      <c r="C813" s="95"/>
    </row>
    <row r="814" spans="3:3" ht="13.2">
      <c r="C814" s="95"/>
    </row>
    <row r="815" spans="3:3" ht="13.2">
      <c r="C815" s="95"/>
    </row>
    <row r="816" spans="3:3" ht="13.2">
      <c r="C816" s="95"/>
    </row>
    <row r="817" spans="3:3" ht="13.2">
      <c r="C817" s="95"/>
    </row>
    <row r="818" spans="3:3" ht="13.2">
      <c r="C818" s="95"/>
    </row>
    <row r="819" spans="3:3" ht="13.2">
      <c r="C819" s="95"/>
    </row>
    <row r="820" spans="3:3" ht="13.2">
      <c r="C820" s="95"/>
    </row>
    <row r="821" spans="3:3" ht="13.2">
      <c r="C821" s="95"/>
    </row>
    <row r="822" spans="3:3" ht="13.2">
      <c r="C822" s="95"/>
    </row>
    <row r="823" spans="3:3" ht="13.2">
      <c r="C823" s="95"/>
    </row>
    <row r="824" spans="3:3" ht="13.2">
      <c r="C824" s="95"/>
    </row>
    <row r="825" spans="3:3" ht="13.2">
      <c r="C825" s="95"/>
    </row>
    <row r="826" spans="3:3" ht="13.2">
      <c r="C826" s="95"/>
    </row>
    <row r="827" spans="3:3" ht="13.2">
      <c r="C827" s="95"/>
    </row>
    <row r="828" spans="3:3" ht="13.2">
      <c r="C828" s="95"/>
    </row>
    <row r="829" spans="3:3" ht="13.2">
      <c r="C829" s="95"/>
    </row>
    <row r="830" spans="3:3" ht="13.2">
      <c r="C830" s="95"/>
    </row>
    <row r="831" spans="3:3" ht="13.2">
      <c r="C831" s="95"/>
    </row>
    <row r="832" spans="3:3" ht="13.2">
      <c r="C832" s="95"/>
    </row>
    <row r="833" spans="3:3" ht="13.2">
      <c r="C833" s="95"/>
    </row>
    <row r="834" spans="3:3" ht="13.2">
      <c r="C834" s="95"/>
    </row>
    <row r="835" spans="3:3" ht="13.2">
      <c r="C835" s="95"/>
    </row>
    <row r="836" spans="3:3" ht="13.2">
      <c r="C836" s="95"/>
    </row>
    <row r="837" spans="3:3" ht="13.2">
      <c r="C837" s="95"/>
    </row>
    <row r="838" spans="3:3" ht="13.2">
      <c r="C838" s="95"/>
    </row>
    <row r="839" spans="3:3" ht="13.2">
      <c r="C839" s="95"/>
    </row>
    <row r="840" spans="3:3" ht="13.2">
      <c r="C840" s="95"/>
    </row>
    <row r="841" spans="3:3" ht="13.2">
      <c r="C841" s="95"/>
    </row>
    <row r="842" spans="3:3" ht="13.2">
      <c r="C842" s="95"/>
    </row>
    <row r="843" spans="3:3" ht="13.2">
      <c r="C843" s="95"/>
    </row>
    <row r="844" spans="3:3" ht="13.2">
      <c r="C844" s="95"/>
    </row>
    <row r="845" spans="3:3" ht="13.2">
      <c r="C845" s="95"/>
    </row>
    <row r="846" spans="3:3" ht="13.2">
      <c r="C846" s="95"/>
    </row>
    <row r="847" spans="3:3" ht="13.2">
      <c r="C847" s="95"/>
    </row>
    <row r="848" spans="3:3" ht="13.2">
      <c r="C848" s="95"/>
    </row>
    <row r="849" spans="3:3" ht="13.2">
      <c r="C849" s="95"/>
    </row>
    <row r="850" spans="3:3" ht="13.2">
      <c r="C850" s="95"/>
    </row>
    <row r="851" spans="3:3" ht="13.2">
      <c r="C851" s="95"/>
    </row>
    <row r="852" spans="3:3" ht="13.2">
      <c r="C852" s="95"/>
    </row>
    <row r="853" spans="3:3" ht="13.2">
      <c r="C853" s="95"/>
    </row>
    <row r="854" spans="3:3" ht="13.2">
      <c r="C854" s="95"/>
    </row>
    <row r="855" spans="3:3" ht="13.2">
      <c r="C855" s="95"/>
    </row>
    <row r="856" spans="3:3" ht="13.2">
      <c r="C856" s="95"/>
    </row>
    <row r="857" spans="3:3" ht="13.2">
      <c r="C857" s="95"/>
    </row>
    <row r="858" spans="3:3" ht="13.2">
      <c r="C858" s="95"/>
    </row>
    <row r="859" spans="3:3" ht="13.2">
      <c r="C859" s="95"/>
    </row>
    <row r="860" spans="3:3" ht="13.2">
      <c r="C860" s="95"/>
    </row>
    <row r="861" spans="3:3" ht="13.2">
      <c r="C861" s="95"/>
    </row>
    <row r="862" spans="3:3" ht="13.2">
      <c r="C862" s="95"/>
    </row>
    <row r="863" spans="3:3" ht="13.2">
      <c r="C863" s="95"/>
    </row>
    <row r="864" spans="3:3" ht="13.2">
      <c r="C864" s="95"/>
    </row>
    <row r="865" spans="3:3" ht="13.2">
      <c r="C865" s="95"/>
    </row>
    <row r="866" spans="3:3" ht="13.2">
      <c r="C866" s="95"/>
    </row>
    <row r="867" spans="3:3" ht="13.2">
      <c r="C867" s="95"/>
    </row>
    <row r="868" spans="3:3" ht="13.2">
      <c r="C868" s="95"/>
    </row>
    <row r="869" spans="3:3" ht="13.2">
      <c r="C869" s="95"/>
    </row>
    <row r="870" spans="3:3" ht="13.2">
      <c r="C870" s="95"/>
    </row>
    <row r="871" spans="3:3" ht="13.2">
      <c r="C871" s="95"/>
    </row>
    <row r="872" spans="3:3" ht="13.2">
      <c r="C872" s="95"/>
    </row>
    <row r="873" spans="3:3" ht="13.2">
      <c r="C873" s="95"/>
    </row>
    <row r="874" spans="3:3" ht="13.2">
      <c r="C874" s="95"/>
    </row>
    <row r="875" spans="3:3" ht="13.2">
      <c r="C875" s="95"/>
    </row>
    <row r="876" spans="3:3" ht="13.2">
      <c r="C876" s="95"/>
    </row>
    <row r="877" spans="3:3" ht="13.2">
      <c r="C877" s="95"/>
    </row>
    <row r="878" spans="3:3" ht="13.2">
      <c r="C878" s="95"/>
    </row>
    <row r="879" spans="3:3" ht="13.2">
      <c r="C879" s="95"/>
    </row>
    <row r="880" spans="3:3" ht="13.2">
      <c r="C880" s="95"/>
    </row>
    <row r="881" spans="3:3" ht="13.2">
      <c r="C881" s="95"/>
    </row>
    <row r="882" spans="3:3" ht="13.2">
      <c r="C882" s="95"/>
    </row>
    <row r="883" spans="3:3" ht="13.2">
      <c r="C883" s="95"/>
    </row>
    <row r="884" spans="3:3" ht="13.2">
      <c r="C884" s="95"/>
    </row>
    <row r="885" spans="3:3" ht="13.2">
      <c r="C885" s="95"/>
    </row>
    <row r="886" spans="3:3" ht="13.2">
      <c r="C886" s="95"/>
    </row>
    <row r="887" spans="3:3" ht="13.2">
      <c r="C887" s="95"/>
    </row>
    <row r="888" spans="3:3" ht="13.2">
      <c r="C888" s="95"/>
    </row>
    <row r="889" spans="3:3" ht="13.2">
      <c r="C889" s="95"/>
    </row>
    <row r="890" spans="3:3" ht="13.2">
      <c r="C890" s="95"/>
    </row>
    <row r="891" spans="3:3" ht="13.2">
      <c r="C891" s="95"/>
    </row>
    <row r="892" spans="3:3" ht="13.2">
      <c r="C892" s="95"/>
    </row>
    <row r="893" spans="3:3" ht="13.2">
      <c r="C893" s="95"/>
    </row>
    <row r="894" spans="3:3" ht="13.2">
      <c r="C894" s="95"/>
    </row>
    <row r="895" spans="3:3" ht="13.2">
      <c r="C895" s="95"/>
    </row>
    <row r="896" spans="3:3" ht="13.2">
      <c r="C896" s="95"/>
    </row>
    <row r="897" spans="3:3" ht="13.2">
      <c r="C897" s="95"/>
    </row>
    <row r="898" spans="3:3" ht="13.2">
      <c r="C898" s="95"/>
    </row>
    <row r="899" spans="3:3" ht="13.2">
      <c r="C899" s="95"/>
    </row>
    <row r="900" spans="3:3" ht="13.2">
      <c r="C900" s="95"/>
    </row>
    <row r="901" spans="3:3" ht="13.2">
      <c r="C901" s="95"/>
    </row>
    <row r="902" spans="3:3" ht="13.2">
      <c r="C902" s="95"/>
    </row>
    <row r="903" spans="3:3" ht="13.2">
      <c r="C903" s="95"/>
    </row>
    <row r="904" spans="3:3" ht="13.2">
      <c r="C904" s="95"/>
    </row>
    <row r="905" spans="3:3" ht="13.2">
      <c r="C905" s="95"/>
    </row>
    <row r="906" spans="3:3" ht="13.2">
      <c r="C906" s="95"/>
    </row>
    <row r="907" spans="3:3" ht="13.2">
      <c r="C907" s="95"/>
    </row>
    <row r="908" spans="3:3" ht="13.2">
      <c r="C908" s="95"/>
    </row>
    <row r="909" spans="3:3" ht="13.2">
      <c r="C909" s="95"/>
    </row>
    <row r="910" spans="3:3" ht="13.2">
      <c r="C910" s="95"/>
    </row>
    <row r="911" spans="3:3" ht="13.2">
      <c r="C911" s="95"/>
    </row>
    <row r="912" spans="3:3" ht="13.2">
      <c r="C912" s="95"/>
    </row>
    <row r="913" spans="3:3" ht="13.2">
      <c r="C913" s="95"/>
    </row>
    <row r="914" spans="3:3" ht="13.2">
      <c r="C914" s="95"/>
    </row>
    <row r="915" spans="3:3" ht="13.2">
      <c r="C915" s="95"/>
    </row>
    <row r="916" spans="3:3" ht="13.2">
      <c r="C916" s="95"/>
    </row>
    <row r="917" spans="3:3" ht="13.2">
      <c r="C917" s="95"/>
    </row>
    <row r="918" spans="3:3" ht="13.2">
      <c r="C918" s="95"/>
    </row>
    <row r="919" spans="3:3" ht="13.2">
      <c r="C919" s="95"/>
    </row>
    <row r="920" spans="3:3" ht="13.2">
      <c r="C920" s="95"/>
    </row>
    <row r="921" spans="3:3" ht="13.2">
      <c r="C921" s="95"/>
    </row>
    <row r="922" spans="3:3" ht="13.2">
      <c r="C922" s="95"/>
    </row>
    <row r="923" spans="3:3" ht="13.2">
      <c r="C923" s="95"/>
    </row>
    <row r="924" spans="3:3" ht="13.2">
      <c r="C924" s="95"/>
    </row>
    <row r="925" spans="3:3" ht="13.2">
      <c r="C925" s="95"/>
    </row>
    <row r="926" spans="3:3" ht="13.2">
      <c r="C926" s="95"/>
    </row>
    <row r="927" spans="3:3" ht="13.2">
      <c r="C927" s="95"/>
    </row>
    <row r="928" spans="3:3" ht="13.2">
      <c r="C928" s="95"/>
    </row>
    <row r="929" spans="3:3" ht="13.2">
      <c r="C929" s="95"/>
    </row>
    <row r="930" spans="3:3" ht="13.2">
      <c r="C930" s="95"/>
    </row>
    <row r="931" spans="3:3" ht="13.2">
      <c r="C931" s="95"/>
    </row>
    <row r="932" spans="3:3" ht="13.2">
      <c r="C932" s="95"/>
    </row>
    <row r="933" spans="3:3" ht="13.2">
      <c r="C933" s="95"/>
    </row>
    <row r="934" spans="3:3" ht="13.2">
      <c r="C934" s="95"/>
    </row>
    <row r="935" spans="3:3" ht="13.2">
      <c r="C935" s="95"/>
    </row>
    <row r="936" spans="3:3" ht="13.2">
      <c r="C936" s="95"/>
    </row>
    <row r="937" spans="3:3" ht="13.2">
      <c r="C937" s="95"/>
    </row>
    <row r="938" spans="3:3" ht="13.2">
      <c r="C938" s="95"/>
    </row>
    <row r="939" spans="3:3" ht="13.2">
      <c r="C939" s="95"/>
    </row>
    <row r="940" spans="3:3" ht="13.2">
      <c r="C940" s="95"/>
    </row>
    <row r="941" spans="3:3" ht="13.2">
      <c r="C941" s="95"/>
    </row>
    <row r="942" spans="3:3" ht="13.2">
      <c r="C942" s="95"/>
    </row>
    <row r="943" spans="3:3" ht="13.2">
      <c r="C943" s="95"/>
    </row>
    <row r="944" spans="3:3" ht="13.2">
      <c r="C944" s="95"/>
    </row>
    <row r="945" spans="3:3" ht="13.2">
      <c r="C945" s="95"/>
    </row>
    <row r="946" spans="3:3" ht="13.2">
      <c r="C946" s="95"/>
    </row>
    <row r="947" spans="3:3" ht="13.2">
      <c r="C947" s="95"/>
    </row>
    <row r="948" spans="3:3" ht="13.2">
      <c r="C948" s="95"/>
    </row>
    <row r="949" spans="3:3" ht="13.2">
      <c r="C949" s="95"/>
    </row>
    <row r="950" spans="3:3" ht="13.2">
      <c r="C950" s="95"/>
    </row>
    <row r="951" spans="3:3" ht="13.2">
      <c r="C951" s="95"/>
    </row>
    <row r="952" spans="3:3" ht="13.2">
      <c r="C952" s="95"/>
    </row>
    <row r="953" spans="3:3" ht="13.2">
      <c r="C953" s="95"/>
    </row>
    <row r="954" spans="3:3" ht="13.2">
      <c r="C954" s="95"/>
    </row>
    <row r="955" spans="3:3" ht="13.2">
      <c r="C955" s="95"/>
    </row>
    <row r="956" spans="3:3" ht="13.2">
      <c r="C956" s="95"/>
    </row>
    <row r="957" spans="3:3" ht="13.2">
      <c r="C957" s="95"/>
    </row>
    <row r="958" spans="3:3" ht="13.2">
      <c r="C958" s="95"/>
    </row>
    <row r="959" spans="3:3" ht="13.2">
      <c r="C959" s="95"/>
    </row>
    <row r="960" spans="3:3" ht="13.2">
      <c r="C960" s="95"/>
    </row>
    <row r="961" spans="3:3" ht="13.2">
      <c r="C961" s="95"/>
    </row>
    <row r="962" spans="3:3" ht="13.2">
      <c r="C962" s="95"/>
    </row>
    <row r="963" spans="3:3" ht="13.2">
      <c r="C963" s="95"/>
    </row>
    <row r="964" spans="3:3" ht="13.2">
      <c r="C964" s="95"/>
    </row>
    <row r="965" spans="3:3" ht="13.2">
      <c r="C965" s="95"/>
    </row>
    <row r="966" spans="3:3" ht="13.2">
      <c r="C966" s="95"/>
    </row>
    <row r="967" spans="3:3" ht="13.2">
      <c r="C967" s="95"/>
    </row>
    <row r="968" spans="3:3" ht="13.2">
      <c r="C968" s="95"/>
    </row>
    <row r="969" spans="3:3" ht="13.2">
      <c r="C969" s="95"/>
    </row>
    <row r="970" spans="3:3" ht="13.2">
      <c r="C970" s="95"/>
    </row>
    <row r="971" spans="3:3" ht="13.2">
      <c r="C971" s="95"/>
    </row>
    <row r="972" spans="3:3" ht="13.2">
      <c r="C972" s="95"/>
    </row>
    <row r="973" spans="3:3" ht="13.2">
      <c r="C973" s="95"/>
    </row>
    <row r="974" spans="3:3" ht="13.2">
      <c r="C974" s="95"/>
    </row>
    <row r="975" spans="3:3" ht="13.2">
      <c r="C975" s="95"/>
    </row>
    <row r="976" spans="3:3" ht="13.2">
      <c r="C976" s="95"/>
    </row>
    <row r="977" spans="3:3" ht="13.2">
      <c r="C977" s="95"/>
    </row>
    <row r="978" spans="3:3" ht="13.2">
      <c r="C978" s="95"/>
    </row>
    <row r="979" spans="3:3" ht="13.2">
      <c r="C979" s="95"/>
    </row>
    <row r="980" spans="3:3" ht="13.2">
      <c r="C980" s="95"/>
    </row>
    <row r="981" spans="3:3" ht="13.2">
      <c r="C981" s="95"/>
    </row>
    <row r="982" spans="3:3" ht="13.2">
      <c r="C982" s="95"/>
    </row>
    <row r="983" spans="3:3" ht="13.2">
      <c r="C983" s="95"/>
    </row>
    <row r="984" spans="3:3" ht="13.2">
      <c r="C984" s="95"/>
    </row>
    <row r="985" spans="3:3" ht="13.2">
      <c r="C985" s="95"/>
    </row>
    <row r="986" spans="3:3" ht="13.2">
      <c r="C986" s="95"/>
    </row>
    <row r="987" spans="3:3" ht="13.2">
      <c r="C987" s="95"/>
    </row>
    <row r="988" spans="3:3" ht="13.2">
      <c r="C988" s="95"/>
    </row>
    <row r="989" spans="3:3" ht="13.2">
      <c r="C989" s="95"/>
    </row>
    <row r="990" spans="3:3" ht="13.2">
      <c r="C990" s="95"/>
    </row>
    <row r="991" spans="3:3" ht="13.2">
      <c r="C991" s="95"/>
    </row>
    <row r="992" spans="3:3" ht="13.2">
      <c r="C992" s="95"/>
    </row>
    <row r="993" spans="3:3" ht="13.2">
      <c r="C993" s="95"/>
    </row>
    <row r="994" spans="3:3" ht="13.2">
      <c r="C994" s="95"/>
    </row>
    <row r="995" spans="3:3" ht="13.2">
      <c r="C995" s="95"/>
    </row>
    <row r="996" spans="3:3" ht="13.2">
      <c r="C996" s="95"/>
    </row>
    <row r="997" spans="3:3" ht="13.2">
      <c r="C997" s="95"/>
    </row>
    <row r="998" spans="3:3" ht="13.2">
      <c r="C998" s="95"/>
    </row>
    <row r="999" spans="3:3" ht="13.2">
      <c r="C999" s="95"/>
    </row>
    <row r="1000" spans="3:3" ht="13.2">
      <c r="C1000" s="95"/>
    </row>
  </sheetData>
  <autoFilter ref="D1:D1000" xr:uid="{00000000-0009-0000-0000-000007000000}"/>
  <mergeCells count="4">
    <mergeCell ref="A86:B86"/>
    <mergeCell ref="F92:F93"/>
    <mergeCell ref="H92:H93"/>
    <mergeCell ref="J92:J9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REKAP APAR FT MAOS</vt:lpstr>
      <vt:lpstr>Sheet8</vt:lpstr>
      <vt:lpstr>REKAP APAR IT CILACAP</vt:lpstr>
      <vt:lpstr>REKAP APAR OTOMATIC</vt:lpstr>
      <vt:lpstr>SUMBER REKAP APAR</vt:lpstr>
      <vt:lpstr>REKAP APAR FT MAOS.</vt:lpstr>
      <vt:lpstr>STOCK APAR CADANGAN</vt:lpstr>
      <vt:lpstr>REKAP APAR DEDI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Adhitya Kuswantoro</cp:lastModifiedBy>
  <dcterms:modified xsi:type="dcterms:W3CDTF">2026-10-02T09:09:09Z</dcterms:modified>
</cp:coreProperties>
</file>